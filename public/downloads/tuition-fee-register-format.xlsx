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e Tracker" sheetId="1" r:id="rId5"/>
    <sheet state="visible" name="Attendance" sheetId="2" r:id="rId6"/>
    <sheet state="visible" name="How To Use" sheetId="3" r:id="rId7"/>
  </sheets>
  <definedNames/>
  <calcPr/>
</workbook>
</file>

<file path=xl/sharedStrings.xml><?xml version="1.0" encoding="utf-8"?>
<sst xmlns="http://schemas.openxmlformats.org/spreadsheetml/2006/main" count="199" uniqueCount="84">
  <si>
    <t>StudentKhata  —  Tuition Fee Register</t>
  </si>
  <si>
    <t>Free template  •  Track monthly fees, pending dues &amp; collections  •  studentkhata.online</t>
  </si>
  <si>
    <t xml:space="preserve">Batch / Class: </t>
  </si>
  <si>
    <t>Teacher Name:</t>
  </si>
  <si>
    <t>Academic Year:</t>
  </si>
  <si>
    <t>Total Students:</t>
  </si>
  <si>
    <t>Monthly Income (if all paid):</t>
  </si>
  <si>
    <t>Total Collected (Year):</t>
  </si>
  <si>
    <t>Total Pending:</t>
  </si>
  <si>
    <t>Students Pending:</t>
  </si>
  <si>
    <t>Tired of updating this manually?  StudentKhata does all this automatically + Attendance + WhatsApp Reminders + PDF Receipts  |  studentkhata.online</t>
  </si>
  <si>
    <t>#</t>
  </si>
  <si>
    <t>Student Name</t>
  </si>
  <si>
    <t>Class / Subject</t>
  </si>
  <si>
    <t>Monthly Fee (Rs)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</si>
  <si>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</si>
  <si>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</si>
  <si>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</si>
  <si>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</si>
  <si>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</si>
  <si>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</si>
  <si>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</si>
  <si>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</si>
  <si>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</si>
  <si>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</si>
  <si>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</si>
  <si>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</si>
  <si>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Total Paid</t>
  </si>
  <si>
    <t>Total Due</t>
  </si>
  <si>
    <t>Status</t>
  </si>
  <si>
    <t>StudentKhata  —  Monthly Attendance Register</t>
  </si>
  <si>
    <t>Enter: P = Present   A = Absent   L = Leave  (uppercase or lowercase, both work)  •  studentkhata.online</t>
  </si>
  <si>
    <t>Month:</t>
  </si>
  <si>
    <t>Batch / Class:</t>
  </si>
  <si>
    <t>Present</t>
  </si>
  <si>
    <t>Absent</t>
  </si>
  <si>
    <t>Att %</t>
  </si>
  <si>
    <t>P</t>
  </si>
  <si>
    <t>A</t>
  </si>
  <si>
    <t>L</t>
  </si>
  <si>
    <t>How To Use This Template</t>
  </si>
  <si>
    <t>Free template by StudentKhata  •  studentkhata.online</t>
  </si>
  <si>
    <t>STEP 1</t>
  </si>
  <si>
    <t>Fee Tracker Sheet</t>
  </si>
  <si>
    <t>Open the Fee Tracker tab. Enter student name in column B, class in C, and monthly fee in D.</t>
  </si>
  <si>
    <t>Each month column (Apr to Mar): enter the amount the student paid that month.</t>
  </si>
  <si>
    <t>Leave blank if not paid. Total Paid and Total Due calculate automatically.</t>
  </si>
  <si>
    <t>Status shows PAID (green) or PENDING (red) automatically.</t>
  </si>
  <si>
    <t>STEP 2</t>
  </si>
  <si>
    <t>Attendance Sheet</t>
  </si>
  <si>
    <t>Open the Attendance tab. Write student names in column B.</t>
  </si>
  <si>
    <t>Each day column: type P (Present), A (Absent), or L (Leave).</t>
  </si>
  <si>
    <t>You can type lowercase p, a, l too — colors still work automatically.</t>
  </si>
  <si>
    <t>Present count, Absent count, and Attendance % are calculated automatically.</t>
  </si>
  <si>
    <t>STEP 3</t>
  </si>
  <si>
    <t>Pending Fees Sheet</t>
  </si>
  <si>
    <t>Open the Pending Fees tab for a quick pending overview.</t>
  </si>
  <si>
    <t>Enter student name, their monthly fee, and how many months are due.</t>
  </si>
  <si>
    <t>Total pending amount calculates automatically. Add reminder date and notes.</t>
  </si>
  <si>
    <t>TIPS</t>
  </si>
  <si>
    <t>Save a backup copy</t>
  </si>
  <si>
    <t>Before entering data, save the file with a new name (e.g. April-2025.xlsx).</t>
  </si>
  <si>
    <t>Google Sheets users</t>
  </si>
  <si>
    <t>Upload to Google Drive. All formulas and colors work in Google Sheets too.</t>
  </si>
  <si>
    <t>Monthly habit</t>
  </si>
  <si>
    <t>Update the sheet once a week — 5 minutes saves hours of confusion at month end.</t>
  </si>
  <si>
    <t>This Excel works great. But StudentKhata does all of this automatically — Free for 90 Days</t>
  </si>
  <si>
    <t xml:space="preserve">  Automatic Fee Tracking</t>
  </si>
  <si>
    <t>No manual entry. StudentKhata records and tracks fees month by month on its own.</t>
  </si>
  <si>
    <t xml:space="preserve">  Smart Pending List</t>
  </si>
  <si>
    <t>Instantly see every student who owes fees — no searching through rows.</t>
  </si>
  <si>
    <t xml:space="preserve">  WhatsApp Reminder Templates</t>
  </si>
  <si>
    <t>Send professional fee reminders to parents in one tap. Saves hours every month.</t>
  </si>
  <si>
    <t xml:space="preserve">  Attendance Management</t>
  </si>
  <si>
    <t>Mark attendance digitally. Auto-calculates present, absent, and percentage.</t>
  </si>
  <si>
    <t xml:space="preserve">  PDF Fee Receipts</t>
  </si>
  <si>
    <t>Generate a professional receipt for any student in one click.</t>
  </si>
  <si>
    <t xml:space="preserve">  Works on Mobile + Web</t>
  </si>
  <si>
    <t>Check everything from your phone while teaching. No laptop needed.</t>
  </si>
  <si>
    <t xml:space="preserve">  Monthly Collection Overview</t>
  </si>
  <si>
    <t>See total collected, total pending, and student-wise breakdown at a glance.</t>
  </si>
  <si>
    <t xml:space="preserve">  90 Days Free — No Credit Card</t>
  </si>
  <si>
    <t>Try the full product free. No card. No hidden charges. Cancel anytime.</t>
  </si>
  <si>
    <t>Start Free at  studentkhata.online  —  Built for Indian tuition teachers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</si>
</sst>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sz val="11.0"/>
      <color theme="1"/>
      <name val="Calibri"/>
    </font>
    <font>
      <b/>
      <sz val="20.0"/>
      <color rgb="FFFFFFFF"/>
      <name val="Calibri"/>
    </font>
    <font/>
    <font>
      <i/>
      <sz val="9.0"/>
      <color rgb="FFA8A29E"/>
      <name val="Calibri"/>
    </font>
    <font>
      <b/>
      <sz val="9.0"/>
      <color rgb="FF44403C"/>
      <name val="Calibri"/>
    </font>
    <font>
      <sz val="9.0"/>
      <color rgb="FF1C1917"/>
      <name val="Calibri"/>
    </font>
    <font>
      <b/>
      <sz val="11.0"/>
      <color rgb="FF0D9488"/>
      <name val="Calibri"/>
    </font>
    <font>
      <b/>
      <sz val="8.0"/>
      <color rgb="FF44403C"/>
      <name val="Calibri"/>
    </font>
    <font>
      <b/>
      <sz val="11.0"/>
      <color rgb="FFDC2626"/>
      <name val="Calibri"/>
    </font>
    <font>
      <b/>
      <sz val="9.0"/>
      <color rgb="FF1C1917"/>
      <name val="Calibri"/>
    </font>
    <font>
      <b/>
      <sz val="9.0"/>
      <color rgb="FFFFFFFF"/>
      <name val="Calibri"/>
    </font>
    <font>
      <sz val="9.0"/>
      <color rgb="FF78716C"/>
      <name val="Calibri"/>
    </font>
    <font>
      <sz val="10.0"/>
      <color rgb="FF1C1917"/>
      <name val="Calibri"/>
    </font>
    <font>
      <sz val="9.0"/>
      <color rgb="FF44403C"/>
      <name val="Calibri"/>
    </font>
    <font>
      <b/>
      <sz val="10.0"/>
      <color rgb="FF166534"/>
      <name val="Calibri"/>
    </font>
    <font>
      <b/>
      <sz val="10.0"/>
      <color rgb="FF991B1B"/>
      <name val="Calibri"/>
    </font>
    <font>
      <b/>
      <sz val="18.0"/>
      <color rgb="FFFFFFFF"/>
      <name val="Calibri"/>
    </font>
    <font>
      <b/>
      <sz val="8.0"/>
      <color rgb="FFFFFFFF"/>
      <name val="Calibri"/>
    </font>
    <font>
      <sz val="8.0"/>
      <color rgb="FF78716C"/>
      <name val="Calibri"/>
    </font>
    <font>
      <b/>
      <sz val="9.0"/>
      <color rgb="FF166534"/>
      <name val="Calibri"/>
    </font>
    <font>
      <b/>
      <sz val="9.0"/>
      <color rgb="FF991B1B"/>
      <name val="Calibri"/>
    </font>
    <font>
      <b/>
      <sz val="10.0"/>
      <color rgb="FF0D9488"/>
      <name val="Calibri"/>
    </font>
    <font>
      <b/>
      <sz val="10.0"/>
      <color rgb="FF1C1917"/>
      <name val="Calibri"/>
    </font>
    <font>
      <sz val="10.0"/>
      <color rgb="FF44403C"/>
      <name val="Calibri"/>
    </font>
    <font>
      <b/>
      <sz val="13.0"/>
      <color rgb="FFFFFFFF"/>
      <name val="Calibri"/>
    </font>
    <font>
      <b/>
      <sz val="12.0"/>
      <color rgb="FF1C1917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0D9488"/>
        <bgColor rgb="FF0D9488"/>
      </patternFill>
    </fill>
    <fill>
      <patternFill patternType="solid">
        <fgColor rgb="FF1C1917"/>
        <bgColor rgb="FF1C1917"/>
      </patternFill>
    </fill>
    <fill>
      <patternFill patternType="solid">
        <fgColor rgb="FFF5F0E8"/>
        <bgColor rgb="FFF5F0E8"/>
      </patternFill>
    </fill>
    <fill>
      <patternFill patternType="solid">
        <fgColor rgb="FFFFFFFF"/>
        <bgColor rgb="FFFFFFFF"/>
      </patternFill>
    </fill>
    <fill>
      <patternFill patternType="solid">
        <fgColor rgb="FFF0FDFA"/>
        <bgColor rgb="FFF0FDFA"/>
      </patternFill>
    </fill>
    <fill>
      <patternFill patternType="solid">
        <fgColor rgb="FFFEF3C7"/>
        <bgColor rgb="FFFEF3C7"/>
      </patternFill>
    </fill>
    <fill>
      <patternFill patternType="solid">
        <fgColor rgb="FF292524"/>
        <bgColor rgb="FF292524"/>
      </patternFill>
    </fill>
    <fill>
      <patternFill patternType="solid">
        <fgColor rgb="FFF5F5F4"/>
        <bgColor rgb="FFF5F5F4"/>
      </patternFill>
    </fill>
    <fill>
      <patternFill patternType="solid">
        <fgColor rgb="FFF9F8F7"/>
        <bgColor rgb="FFF9F8F7"/>
      </patternFill>
    </fill>
    <fill>
      <patternFill patternType="solid">
        <fgColor rgb="FFF0FDF4"/>
        <bgColor rgb="FFF0FDF4"/>
      </patternFill>
    </fill>
    <fill>
      <patternFill patternType="solid">
        <fgColor rgb="FFFEF2F2"/>
        <bgColor rgb="FFFEF2F2"/>
      </patternFill>
    </fill>
    <fill>
      <patternFill patternType="solid">
        <fgColor rgb="FF44403C"/>
        <bgColor rgb="FF44403C"/>
      </patternFill>
    </fill>
    <fill>
      <patternFill patternType="solid">
        <fgColor rgb="FFE5E7EB"/>
        <bgColor rgb="FFE5E7EB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0D9488"/>
      </bottom>
    </border>
    <border>
      <left style="thin">
        <color rgb="FF292524"/>
      </left>
      <right style="thin">
        <color rgb="FF292524"/>
      </right>
      <top style="thin">
        <color rgb="FF292524"/>
      </top>
      <bottom style="thin">
        <color rgb="FF292524"/>
      </bottom>
    </border>
    <border>
      <left style="thin">
        <color rgb="FFD6D3D1"/>
      </left>
      <right style="thin">
        <color rgb="FFD6D3D1"/>
      </right>
      <top style="thin">
        <color rgb="FFD6D3D1"/>
      </top>
      <bottom style="thin">
        <color rgb="FFD6D3D1"/>
      </bottom>
    </border>
    <border>
      <left style="thin">
        <color rgb="FFBBF7D0"/>
      </left>
      <right style="thin">
        <color rgb="FFBBF7D0"/>
      </right>
      <top style="thin">
        <color rgb="FFBBF7D0"/>
      </top>
      <bottom style="thin">
        <color rgb="FFBBF7D0"/>
      </bottom>
    </border>
    <border>
      <left style="thin">
        <color rgb="FFFECACA"/>
      </left>
      <right style="thin">
        <color rgb="FFFECACA"/>
      </right>
      <top style="thin">
        <color rgb="FFFECACA"/>
      </top>
      <bottom style="thin">
        <color rgb="FFFECACA"/>
      </bottom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2" fillId="3" fontId="2" numFmtId="0" xfId="0" applyAlignment="1" applyBorder="1" applyFill="1" applyFont="1">
      <alignment horizontal="center" shrinkToFit="0" vertical="center" wrapText="0"/>
    </xf>
    <xf borderId="3" fillId="0" fontId="3" numFmtId="0" xfId="0" applyBorder="1" applyFont="1"/>
    <xf borderId="4" fillId="0" fontId="3" numFmtId="0" xfId="0" applyBorder="1" applyFont="1"/>
    <xf borderId="2" fillId="3" fontId="4" numFmtId="0" xfId="0" applyAlignment="1" applyBorder="1" applyFont="1">
      <alignment horizontal="center" shrinkToFit="0" vertical="center" wrapText="0"/>
    </xf>
    <xf borderId="1" fillId="4" fontId="5" numFmtId="0" xfId="0" applyAlignment="1" applyBorder="1" applyFill="1" applyFont="1">
      <alignment horizontal="left" readingOrder="0" shrinkToFit="0" vertical="center" wrapText="0"/>
    </xf>
    <xf borderId="5" fillId="5" fontId="6" numFmtId="0" xfId="0" applyAlignment="1" applyBorder="1" applyFill="1" applyFont="1">
      <alignment horizontal="left" shrinkToFit="0" vertical="center" wrapText="0"/>
    </xf>
    <xf borderId="1" fillId="4" fontId="5" numFmtId="0" xfId="0" applyAlignment="1" applyBorder="1" applyFont="1">
      <alignment horizontal="left" shrinkToFit="0" vertical="center" wrapText="0"/>
    </xf>
    <xf borderId="1" fillId="4" fontId="1" numFmtId="0" xfId="0" applyAlignment="1" applyBorder="1" applyFont="1">
      <alignment shrinkToFit="0" vertical="bottom" wrapText="0"/>
    </xf>
    <xf borderId="1" fillId="4" fontId="5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6" fontId="8" numFmtId="0" xfId="0" applyAlignment="1" applyBorder="1" applyFill="1" applyFont="1">
      <alignment horizontal="left" shrinkToFit="0" vertical="center" wrapText="0"/>
    </xf>
    <xf borderId="1" fillId="6" fontId="1" numFmtId="0" xfId="0" applyAlignment="1" applyBorder="1" applyFont="1">
      <alignment shrinkToFit="0" vertical="bottom" wrapText="0"/>
    </xf>
    <xf borderId="1" fillId="6" fontId="7" numFmtId="0" xfId="0" applyAlignment="1" applyBorder="1" applyFont="1">
      <alignment horizontal="center" shrinkToFit="0" vertical="center" wrapText="0"/>
    </xf>
    <xf borderId="1" fillId="6" fontId="9" numFmtId="0" xfId="0" applyAlignment="1" applyBorder="1" applyFont="1">
      <alignment horizontal="center" shrinkToFit="0" vertical="center" wrapText="0"/>
    </xf>
    <xf borderId="2" fillId="7" fontId="10" numFmtId="0" xfId="0" applyAlignment="1" applyBorder="1" applyFill="1" applyFont="1">
      <alignment horizontal="center" shrinkToFit="0" vertical="center" wrapText="0"/>
    </xf>
    <xf borderId="6" fillId="8" fontId="11" numFmtId="0" xfId="0" applyAlignment="1" applyBorder="1" applyFill="1" applyFont="1">
      <alignment horizontal="center" shrinkToFit="0" vertical="center" wrapText="0"/>
    </xf>
    <xf borderId="7" fillId="9" fontId="12" numFmtId="0" xfId="0" applyAlignment="1" applyBorder="1" applyFill="1" applyFont="1">
      <alignment horizontal="center" shrinkToFit="0" vertical="center" wrapText="0"/>
    </xf>
    <xf borderId="7" fillId="10" fontId="13" numFmtId="0" xfId="0" applyAlignment="1" applyBorder="1" applyFill="1" applyFont="1">
      <alignment horizontal="left" readingOrder="0" shrinkToFit="0" vertical="center" wrapText="0"/>
    </xf>
    <xf borderId="7" fillId="9" fontId="14" numFmtId="0" xfId="0" applyAlignment="1" applyBorder="1" applyFont="1">
      <alignment horizontal="center" readingOrder="0" shrinkToFit="0" vertical="center" wrapText="0"/>
    </xf>
    <xf borderId="7" fillId="9" fontId="13" numFmtId="0" xfId="0" applyAlignment="1" applyBorder="1" applyFont="1">
      <alignment horizontal="center" readingOrder="0" shrinkToFit="0" vertical="center" wrapText="0"/>
    </xf>
    <xf borderId="7" fillId="9" fontId="14" numFmtId="0" xfId="0" applyAlignment="1" applyBorder="1" applyFont="1">
      <alignment horizontal="center" shrinkToFit="0" vertical="center" wrapText="0"/>
    </xf>
    <xf borderId="8" fillId="11" fontId="15" numFmtId="0" xfId="0" applyAlignment="1" applyBorder="1" applyFill="1" applyFont="1">
      <alignment horizontal="center" shrinkToFit="0" vertical="center" wrapText="0"/>
    </xf>
    <xf borderId="9" fillId="12" fontId="16" numFmtId="0" xfId="0" applyAlignment="1" applyBorder="1" applyFill="1" applyFont="1">
      <alignment horizontal="center" shrinkToFit="0" vertical="center" wrapText="0"/>
    </xf>
    <xf borderId="7" fillId="9" fontId="5" numFmtId="0" xfId="0" applyAlignment="1" applyBorder="1" applyFont="1">
      <alignment horizontal="center" shrinkToFit="0" vertical="center" wrapText="0"/>
    </xf>
    <xf borderId="7" fillId="5" fontId="12" numFmtId="0" xfId="0" applyAlignment="1" applyBorder="1" applyFont="1">
      <alignment horizontal="center" shrinkToFit="0" vertical="center" wrapText="0"/>
    </xf>
    <xf borderId="7" fillId="5" fontId="13" numFmtId="0" xfId="0" applyAlignment="1" applyBorder="1" applyFont="1">
      <alignment horizontal="left" shrinkToFit="0" vertical="center" wrapText="0"/>
    </xf>
    <xf borderId="7" fillId="5" fontId="14" numFmtId="0" xfId="0" applyAlignment="1" applyBorder="1" applyFont="1">
      <alignment horizontal="center" shrinkToFit="0" vertical="center" wrapText="0"/>
    </xf>
    <xf borderId="7" fillId="5" fontId="13" numFmtId="0" xfId="0" applyAlignment="1" applyBorder="1" applyFont="1">
      <alignment horizontal="center" shrinkToFit="0" vertical="center" wrapText="0"/>
    </xf>
    <xf borderId="7" fillId="5" fontId="14" numFmtId="0" xfId="0" applyAlignment="1" applyBorder="1" applyFont="1">
      <alignment horizontal="center" readingOrder="0" shrinkToFit="0" vertical="center" wrapText="0"/>
    </xf>
    <xf borderId="7" fillId="5" fontId="5" numFmtId="0" xfId="0" applyAlignment="1" applyBorder="1" applyFont="1">
      <alignment horizontal="center" shrinkToFit="0" vertical="center" wrapText="0"/>
    </xf>
    <xf borderId="7" fillId="10" fontId="13" numFmtId="0" xfId="0" applyAlignment="1" applyBorder="1" applyFont="1">
      <alignment horizontal="left" shrinkToFit="0" vertical="center" wrapText="0"/>
    </xf>
    <xf borderId="7" fillId="9" fontId="13" numFmtId="0" xfId="0" applyAlignment="1" applyBorder="1" applyFont="1">
      <alignment horizontal="center" shrinkToFit="0" vertical="center" wrapText="0"/>
    </xf>
    <xf borderId="2" fillId="3" fontId="17" numFmtId="0" xfId="0" applyAlignment="1" applyBorder="1" applyFont="1">
      <alignment horizontal="center" shrinkToFit="0" vertical="center" wrapText="0"/>
    </xf>
    <xf borderId="5" fillId="5" fontId="1" numFmtId="0" xfId="0" applyAlignment="1" applyBorder="1" applyFont="1">
      <alignment shrinkToFit="0" vertical="bottom" wrapText="0"/>
    </xf>
    <xf borderId="6" fillId="2" fontId="18" numFmtId="0" xfId="0" applyAlignment="1" applyBorder="1" applyFont="1">
      <alignment horizontal="center" shrinkToFit="0" vertical="center" wrapText="0"/>
    </xf>
    <xf borderId="6" fillId="13" fontId="18" numFmtId="0" xfId="0" applyAlignment="1" applyBorder="1" applyFill="1" applyFont="1">
      <alignment horizontal="center" shrinkToFit="0" vertical="center" wrapText="0"/>
    </xf>
    <xf borderId="7" fillId="9" fontId="19" numFmtId="0" xfId="0" applyAlignment="1" applyBorder="1" applyFont="1">
      <alignment horizontal="center" shrinkToFit="0" vertical="center" wrapText="0"/>
    </xf>
    <xf borderId="7" fillId="11" fontId="20" numFmtId="0" xfId="0" applyAlignment="1" applyBorder="1" applyFont="1">
      <alignment horizontal="center" shrinkToFit="0" vertical="center" wrapText="0"/>
    </xf>
    <xf borderId="7" fillId="12" fontId="21" numFmtId="0" xfId="0" applyAlignment="1" applyBorder="1" applyFont="1">
      <alignment horizontal="center" shrinkToFit="0" vertical="center" wrapText="0"/>
    </xf>
    <xf borderId="7" fillId="12" fontId="21" numFmtId="0" xfId="0" applyAlignment="1" applyBorder="1" applyFont="1">
      <alignment horizontal="center" readingOrder="0" shrinkToFit="0" vertical="center" wrapText="0"/>
    </xf>
    <xf borderId="7" fillId="9" fontId="5" numFmtId="0" xfId="0" applyAlignment="1" applyBorder="1" applyFont="1">
      <alignment horizontal="center" readingOrder="0" shrinkToFit="0" vertical="center" wrapText="0"/>
    </xf>
    <xf borderId="10" fillId="6" fontId="22" numFmtId="9" xfId="0" applyAlignment="1" applyBorder="1" applyFont="1" applyNumberFormat="1">
      <alignment horizontal="center" shrinkToFit="0" vertical="center" wrapText="0"/>
    </xf>
    <xf borderId="7" fillId="5" fontId="19" numFmtId="0" xfId="0" applyAlignment="1" applyBorder="1" applyFont="1">
      <alignment horizontal="center" shrinkToFit="0" vertical="center" wrapText="0"/>
    </xf>
    <xf borderId="7" fillId="14" fontId="5" numFmtId="0" xfId="0" applyAlignment="1" applyBorder="1" applyFill="1" applyFont="1">
      <alignment horizontal="center" shrinkToFit="0" vertical="center" wrapText="0"/>
    </xf>
    <xf borderId="7" fillId="2" fontId="11" numFmtId="0" xfId="0" applyAlignment="1" applyBorder="1" applyFont="1">
      <alignment horizontal="center" shrinkToFit="0" vertical="center" wrapText="0"/>
    </xf>
    <xf borderId="7" fillId="4" fontId="23" numFmtId="0" xfId="0" applyAlignment="1" applyBorder="1" applyFont="1">
      <alignment horizontal="left" shrinkToFit="0" vertical="center" wrapText="0"/>
    </xf>
    <xf borderId="7" fillId="9" fontId="24" numFmtId="0" xfId="0" applyAlignment="1" applyBorder="1" applyFont="1">
      <alignment horizontal="left" shrinkToFit="0" vertical="center" wrapText="1"/>
    </xf>
    <xf borderId="7" fillId="5" fontId="23" numFmtId="0" xfId="0" applyAlignment="1" applyBorder="1" applyFont="1">
      <alignment horizontal="left" shrinkToFit="0" vertical="center" wrapText="0"/>
    </xf>
    <xf borderId="7" fillId="5" fontId="24" numFmtId="0" xfId="0" applyAlignment="1" applyBorder="1" applyFont="1">
      <alignment horizontal="left" shrinkToFit="0" vertical="center" wrapText="1"/>
    </xf>
    <xf borderId="2" fillId="3" fontId="25" numFmtId="0" xfId="0" applyAlignment="1" applyBorder="1" applyFont="1">
      <alignment horizontal="center" shrinkToFit="0" vertical="center" wrapText="0"/>
    </xf>
    <xf borderId="7" fillId="6" fontId="22" numFmtId="0" xfId="0" applyAlignment="1" applyBorder="1" applyFont="1">
      <alignment horizontal="left" shrinkToFit="0" vertical="center" wrapText="0"/>
    </xf>
    <xf borderId="7" fillId="6" fontId="24" numFmtId="0" xfId="0" applyAlignment="1" applyBorder="1" applyFont="1">
      <alignment horizontal="left" shrinkToFit="0" vertical="center" wrapText="1"/>
    </xf>
    <xf borderId="2" fillId="7" fontId="26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5">
    <dxf>
      <font>
        <b/>
        <sz val="9.0"/>
        <color rgb="FF166534"/>
        <name val="Calibri"/>
      </font>
      <fill>
        <patternFill patternType="solid">
          <fgColor rgb="FFF0FDF4"/>
          <bgColor rgb="FFF0FDF4"/>
        </patternFill>
      </fill>
      <border/>
    </dxf>
    <dxf>
      <font>
        <b/>
        <sz val="9.0"/>
        <color rgb="FF991B1B"/>
        <name val="Calibri"/>
      </font>
      <fill>
        <patternFill patternType="solid">
          <fgColor rgb="FFFEF2F2"/>
          <bgColor rgb="FFFEF2F2"/>
        </patternFill>
      </fill>
      <border/>
    </dxf>
    <dxf>
      <font>
        <b/>
        <sz val="10.0"/>
        <color rgb="FF991B1B"/>
        <name val="Calibri"/>
      </font>
      <fill>
        <patternFill patternType="solid">
          <fgColor rgb="FFFEF2F2"/>
          <bgColor rgb="FFFEF2F2"/>
        </patternFill>
      </fill>
      <border/>
    </dxf>
    <dxf>
      <font>
        <b/>
        <sz val="10.0"/>
        <color rgb="FF166534"/>
        <name val="Calibri"/>
      </font>
      <fill>
        <patternFill patternType="solid">
          <fgColor rgb="FFF0FDF4"/>
          <bgColor rgb="FFF0FDF4"/>
        </patternFill>
      </fill>
      <border/>
    </dxf>
    <dxf>
      <font>
        <b/>
        <sz val="9.0"/>
        <color rgb="FF44403C"/>
        <name val="Calibri"/>
      </font>
      <fill>
        <patternFill patternType="solid">
          <fgColor rgb="FFE5E7EB"/>
          <bgColor rgb="FFE5E7E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C1917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5.0"/>
    <col customWidth="1" min="2" max="2" width="24.0"/>
    <col customWidth="1" min="3" max="4" width="14.0"/>
    <col customWidth="1" min="5" max="16" width="9.0"/>
    <col customWidth="1" min="17" max="18" width="14.0"/>
    <col customWidth="1" min="19" max="19" width="16.0"/>
    <col customWidth="1" min="20" max="26" width="8.71"/>
  </cols>
  <sheetData>
    <row r="1" ht="6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37.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4"/>
    </row>
    <row r="3" ht="15.75" customHeight="1">
      <c r="A3" s="5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4"/>
    </row>
    <row r="4" ht="21.75" customHeight="1">
      <c r="A4" s="6" t="s">
        <v>2</v>
      </c>
      <c r="B4" s="7"/>
      <c r="C4" s="8" t="s">
        <v>3</v>
      </c>
      <c r="D4" s="7"/>
      <c r="E4" s="9"/>
      <c r="F4" s="10" t="s">
        <v>4</v>
      </c>
      <c r="G4" s="7"/>
      <c r="H4" s="7"/>
      <c r="I4" s="8" t="s">
        <v>5</v>
      </c>
      <c r="J4" s="11">
        <f>COUNTA(B8:B57)</f>
        <v>0</v>
      </c>
      <c r="K4" s="9"/>
      <c r="L4" s="9"/>
      <c r="M4" s="9"/>
      <c r="N4" s="9"/>
      <c r="O4" s="9"/>
      <c r="P4" s="9"/>
      <c r="Q4" s="9"/>
      <c r="R4" s="9"/>
      <c r="S4" s="9"/>
    </row>
    <row r="5" ht="21.75" customHeight="1">
      <c r="A5" s="12" t="s">
        <v>6</v>
      </c>
      <c r="B5" s="13"/>
      <c r="C5" s="13"/>
      <c r="D5" s="14">
        <f>SUMPRODUCT((B8:B57&lt;&gt;"")*D8:D57)</f>
        <v>0</v>
      </c>
      <c r="E5" s="12" t="s">
        <v>7</v>
      </c>
      <c r="F5" s="13"/>
      <c r="G5" s="13"/>
      <c r="H5" s="14">
        <f>SUM(Q8:Q57)</f>
        <v>0</v>
      </c>
      <c r="I5" s="12" t="s">
        <v>8</v>
      </c>
      <c r="J5" s="13"/>
      <c r="K5" s="13"/>
      <c r="L5" s="15">
        <f>SUM(R8:R57)</f>
        <v>0</v>
      </c>
      <c r="M5" s="12" t="s">
        <v>9</v>
      </c>
      <c r="N5" s="13"/>
      <c r="O5" s="13"/>
      <c r="P5" s="15">
        <f>COUNTIF(S8:S57,"Pending")</f>
        <v>0</v>
      </c>
      <c r="Q5" s="13"/>
      <c r="R5" s="13"/>
      <c r="S5" s="13"/>
    </row>
    <row r="6" ht="19.5" customHeight="1">
      <c r="A6" s="16" t="s">
        <v>10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4"/>
    </row>
    <row r="7" ht="30.0" customHeight="1">
      <c r="A7" s="17" t="s">
        <v>11</v>
      </c>
      <c r="B7" s="17" t="s">
        <v>12</v>
      </c>
      <c r="C7" s="17" t="s">
        <v>13</v>
      </c>
      <c r="D7" s="17" t="s">
        <v>14</v>
      </c>
      <c r="E7" s="17" t="s">
        <v>15</v>
      </c>
      <c r="F7" s="17" t="s">
        <v>16</v>
      </c>
      <c r="G7" s="17" t="s">
        <v>17</v>
      </c>
      <c r="H7" s="17" t="s">
        <v>18</v>
      </c>
      <c r="I7" s="17" t="s">
        <v>19</v>
      </c>
      <c r="J7" s="17" t="s">
        <v>20</v>
      </c>
      <c r="K7" s="17" t="s">
        <v>21</v>
      </c>
      <c r="L7" s="17" t="s">
        <v>22</v>
      </c>
      <c r="M7" s="17" t="s">
        <v>23</v>
      </c>
      <c r="N7" s="17" t="s">
        <v>24</v>
      </c>
      <c r="O7" s="17" t="s">
        <v>25</v>
      </c>
      <c r="P7" s="17" t="s">
        <v>26</v>
      </c>
      <c r="Q7" s="17" t="s">
        <v>27</v>
      </c>
      <c r="R7" s="17" t="s">
        <v>28</v>
      </c>
      <c r="S7" s="17" t="s">
        <v>29</v>
      </c>
    </row>
    <row r="8" ht="21.75" customHeight="1">
      <c r="A8" s="18">
        <v>1.0</v>
      </c>
      <c r="B8" s="19"/>
      <c r="C8" s="20"/>
      <c r="D8" s="21"/>
      <c r="E8" s="22"/>
      <c r="F8" s="22"/>
      <c r="G8" s="22"/>
      <c r="H8" s="22"/>
      <c r="I8" s="22"/>
      <c r="J8" s="22"/>
      <c r="K8" s="22"/>
      <c r="L8" s="22"/>
      <c r="M8" s="22"/>
      <c r="N8" s="20"/>
      <c r="O8" s="20"/>
      <c r="P8" s="20"/>
      <c r="Q8" s="23" t="str">
        <f t="shared" ref="Q8:Q57" si="1">IF(B8="","",SUM(E8:P8))</f>
        <v/>
      </c>
      <c r="R8" s="24" t="str">
        <f t="shared" ref="R8:R57" si="2">IF(B8="","",IF(D8="","",(D8*12)-Q8))</f>
        <v/>
      </c>
      <c r="S8" s="25" t="str">
        <f t="shared" ref="S8:S57" si="3">IF(B8="","",IF(R8&lt;=0,"Paid","Pending"))</f>
        <v/>
      </c>
    </row>
    <row r="9" ht="21.75" customHeight="1">
      <c r="A9" s="26">
        <v>2.0</v>
      </c>
      <c r="B9" s="27"/>
      <c r="C9" s="28"/>
      <c r="D9" s="29"/>
      <c r="E9" s="28"/>
      <c r="F9" s="28"/>
      <c r="G9" s="28"/>
      <c r="H9" s="28"/>
      <c r="I9" s="28"/>
      <c r="J9" s="30"/>
      <c r="K9" s="28"/>
      <c r="L9" s="30"/>
      <c r="M9" s="30"/>
      <c r="N9" s="30"/>
      <c r="O9" s="30"/>
      <c r="P9" s="30"/>
      <c r="Q9" s="23" t="str">
        <f t="shared" si="1"/>
        <v/>
      </c>
      <c r="R9" s="24" t="str">
        <f t="shared" si="2"/>
        <v/>
      </c>
      <c r="S9" s="31" t="str">
        <f t="shared" si="3"/>
        <v/>
      </c>
    </row>
    <row r="10" ht="21.75" customHeight="1">
      <c r="A10" s="18">
        <v>3.0</v>
      </c>
      <c r="B10" s="32"/>
      <c r="C10" s="22"/>
      <c r="D10" s="33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3" t="str">
        <f t="shared" si="1"/>
        <v/>
      </c>
      <c r="R10" s="24" t="str">
        <f t="shared" si="2"/>
        <v/>
      </c>
      <c r="S10" s="25" t="str">
        <f t="shared" si="3"/>
        <v/>
      </c>
    </row>
    <row r="11" ht="21.75" customHeight="1">
      <c r="A11" s="26">
        <v>4.0</v>
      </c>
      <c r="B11" s="27"/>
      <c r="C11" s="28"/>
      <c r="D11" s="29"/>
      <c r="E11" s="28"/>
      <c r="F11" s="28"/>
      <c r="G11" s="28"/>
      <c r="H11" s="29"/>
      <c r="I11" s="29"/>
      <c r="J11" s="29"/>
      <c r="K11" s="29"/>
      <c r="L11" s="29"/>
      <c r="M11" s="29"/>
      <c r="N11" s="29"/>
      <c r="O11" s="29"/>
      <c r="P11" s="29"/>
      <c r="Q11" s="23" t="str">
        <f t="shared" si="1"/>
        <v/>
      </c>
      <c r="R11" s="24" t="str">
        <f t="shared" si="2"/>
        <v/>
      </c>
      <c r="S11" s="31" t="str">
        <f t="shared" si="3"/>
        <v/>
      </c>
    </row>
    <row r="12" ht="21.75" customHeight="1">
      <c r="A12" s="18">
        <v>5.0</v>
      </c>
      <c r="B12" s="19"/>
      <c r="C12" s="22"/>
      <c r="D12" s="33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3" t="str">
        <f t="shared" si="1"/>
        <v/>
      </c>
      <c r="R12" s="24" t="str">
        <f t="shared" si="2"/>
        <v/>
      </c>
      <c r="S12" s="25" t="str">
        <f t="shared" si="3"/>
        <v/>
      </c>
    </row>
    <row r="13" ht="21.75" customHeight="1">
      <c r="A13" s="26">
        <v>6.0</v>
      </c>
      <c r="B13" s="27"/>
      <c r="C13" s="28"/>
      <c r="D13" s="29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3" t="str">
        <f t="shared" si="1"/>
        <v/>
      </c>
      <c r="R13" s="24" t="str">
        <f t="shared" si="2"/>
        <v/>
      </c>
      <c r="S13" s="31" t="str">
        <f t="shared" si="3"/>
        <v/>
      </c>
    </row>
    <row r="14" ht="21.75" customHeight="1">
      <c r="A14" s="18">
        <v>7.0</v>
      </c>
      <c r="B14" s="32"/>
      <c r="C14" s="22"/>
      <c r="D14" s="33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3" t="str">
        <f t="shared" si="1"/>
        <v/>
      </c>
      <c r="R14" s="24" t="str">
        <f t="shared" si="2"/>
        <v/>
      </c>
      <c r="S14" s="25" t="str">
        <f t="shared" si="3"/>
        <v/>
      </c>
    </row>
    <row r="15" ht="21.75" customHeight="1">
      <c r="A15" s="26">
        <v>8.0</v>
      </c>
      <c r="B15" s="27"/>
      <c r="C15" s="28"/>
      <c r="D15" s="29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3" t="str">
        <f t="shared" si="1"/>
        <v/>
      </c>
      <c r="R15" s="24" t="str">
        <f t="shared" si="2"/>
        <v/>
      </c>
      <c r="S15" s="31" t="str">
        <f t="shared" si="3"/>
        <v/>
      </c>
    </row>
    <row r="16" ht="21.75" customHeight="1">
      <c r="A16" s="18">
        <v>9.0</v>
      </c>
      <c r="B16" s="32"/>
      <c r="C16" s="22"/>
      <c r="D16" s="33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3" t="str">
        <f t="shared" si="1"/>
        <v/>
      </c>
      <c r="R16" s="24" t="str">
        <f t="shared" si="2"/>
        <v/>
      </c>
      <c r="S16" s="25" t="str">
        <f t="shared" si="3"/>
        <v/>
      </c>
    </row>
    <row r="17" ht="21.75" customHeight="1">
      <c r="A17" s="26">
        <v>10.0</v>
      </c>
      <c r="B17" s="27"/>
      <c r="C17" s="28"/>
      <c r="D17" s="29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3" t="str">
        <f t="shared" si="1"/>
        <v/>
      </c>
      <c r="R17" s="24" t="str">
        <f t="shared" si="2"/>
        <v/>
      </c>
      <c r="S17" s="31" t="str">
        <f t="shared" si="3"/>
        <v/>
      </c>
    </row>
    <row r="18" ht="21.75" customHeight="1">
      <c r="A18" s="18">
        <v>11.0</v>
      </c>
      <c r="B18" s="32"/>
      <c r="C18" s="22"/>
      <c r="D18" s="33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3" t="str">
        <f t="shared" si="1"/>
        <v/>
      </c>
      <c r="R18" s="24" t="str">
        <f t="shared" si="2"/>
        <v/>
      </c>
      <c r="S18" s="25" t="str">
        <f t="shared" si="3"/>
        <v/>
      </c>
    </row>
    <row r="19" ht="21.75" customHeight="1">
      <c r="A19" s="26">
        <v>12.0</v>
      </c>
      <c r="B19" s="27"/>
      <c r="C19" s="28"/>
      <c r="D19" s="29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3" t="str">
        <f t="shared" si="1"/>
        <v/>
      </c>
      <c r="R19" s="24" t="str">
        <f t="shared" si="2"/>
        <v/>
      </c>
      <c r="S19" s="31" t="str">
        <f t="shared" si="3"/>
        <v/>
      </c>
    </row>
    <row r="20" ht="21.75" customHeight="1">
      <c r="A20" s="18">
        <v>13.0</v>
      </c>
      <c r="B20" s="32"/>
      <c r="C20" s="22"/>
      <c r="D20" s="33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3" t="str">
        <f t="shared" si="1"/>
        <v/>
      </c>
      <c r="R20" s="24" t="str">
        <f t="shared" si="2"/>
        <v/>
      </c>
      <c r="S20" s="25" t="str">
        <f t="shared" si="3"/>
        <v/>
      </c>
    </row>
    <row r="21" ht="21.75" customHeight="1">
      <c r="A21" s="26">
        <v>14.0</v>
      </c>
      <c r="B21" s="27"/>
      <c r="C21" s="28"/>
      <c r="D21" s="29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3" t="str">
        <f t="shared" si="1"/>
        <v/>
      </c>
      <c r="R21" s="24" t="str">
        <f t="shared" si="2"/>
        <v/>
      </c>
      <c r="S21" s="31" t="str">
        <f t="shared" si="3"/>
        <v/>
      </c>
    </row>
    <row r="22" ht="21.75" customHeight="1">
      <c r="A22" s="18">
        <v>15.0</v>
      </c>
      <c r="B22" s="32"/>
      <c r="C22" s="22"/>
      <c r="D22" s="33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3" t="str">
        <f t="shared" si="1"/>
        <v/>
      </c>
      <c r="R22" s="24" t="str">
        <f t="shared" si="2"/>
        <v/>
      </c>
      <c r="S22" s="25" t="str">
        <f t="shared" si="3"/>
        <v/>
      </c>
    </row>
    <row r="23" ht="21.75" customHeight="1">
      <c r="A23" s="26">
        <v>16.0</v>
      </c>
      <c r="B23" s="27"/>
      <c r="C23" s="28"/>
      <c r="D23" s="29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3" t="str">
        <f t="shared" si="1"/>
        <v/>
      </c>
      <c r="R23" s="24" t="str">
        <f t="shared" si="2"/>
        <v/>
      </c>
      <c r="S23" s="31" t="str">
        <f t="shared" si="3"/>
        <v/>
      </c>
    </row>
    <row r="24" ht="21.75" customHeight="1">
      <c r="A24" s="18">
        <v>17.0</v>
      </c>
      <c r="B24" s="32"/>
      <c r="C24" s="22"/>
      <c r="D24" s="33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3" t="str">
        <f t="shared" si="1"/>
        <v/>
      </c>
      <c r="R24" s="24" t="str">
        <f t="shared" si="2"/>
        <v/>
      </c>
      <c r="S24" s="25" t="str">
        <f t="shared" si="3"/>
        <v/>
      </c>
    </row>
    <row r="25" ht="21.75" customHeight="1">
      <c r="A25" s="26">
        <v>18.0</v>
      </c>
      <c r="B25" s="27"/>
      <c r="C25" s="28"/>
      <c r="D25" s="29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3" t="str">
        <f t="shared" si="1"/>
        <v/>
      </c>
      <c r="R25" s="24" t="str">
        <f t="shared" si="2"/>
        <v/>
      </c>
      <c r="S25" s="31" t="str">
        <f t="shared" si="3"/>
        <v/>
      </c>
    </row>
    <row r="26" ht="21.75" customHeight="1">
      <c r="A26" s="18">
        <v>19.0</v>
      </c>
      <c r="B26" s="32"/>
      <c r="C26" s="22"/>
      <c r="D26" s="33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3" t="str">
        <f t="shared" si="1"/>
        <v/>
      </c>
      <c r="R26" s="24" t="str">
        <f t="shared" si="2"/>
        <v/>
      </c>
      <c r="S26" s="25" t="str">
        <f t="shared" si="3"/>
        <v/>
      </c>
    </row>
    <row r="27" ht="21.75" customHeight="1">
      <c r="A27" s="26">
        <v>20.0</v>
      </c>
      <c r="B27" s="27"/>
      <c r="C27" s="28"/>
      <c r="D27" s="29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3" t="str">
        <f t="shared" si="1"/>
        <v/>
      </c>
      <c r="R27" s="24" t="str">
        <f t="shared" si="2"/>
        <v/>
      </c>
      <c r="S27" s="31" t="str">
        <f t="shared" si="3"/>
        <v/>
      </c>
    </row>
    <row r="28" ht="21.75" customHeight="1">
      <c r="A28" s="18">
        <v>21.0</v>
      </c>
      <c r="B28" s="32"/>
      <c r="C28" s="22"/>
      <c r="D28" s="33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3" t="str">
        <f t="shared" si="1"/>
        <v/>
      </c>
      <c r="R28" s="24" t="str">
        <f t="shared" si="2"/>
        <v/>
      </c>
      <c r="S28" s="25" t="str">
        <f t="shared" si="3"/>
        <v/>
      </c>
    </row>
    <row r="29" ht="21.75" customHeight="1">
      <c r="A29" s="26">
        <v>22.0</v>
      </c>
      <c r="B29" s="27"/>
      <c r="C29" s="28"/>
      <c r="D29" s="29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3" t="str">
        <f t="shared" si="1"/>
        <v/>
      </c>
      <c r="R29" s="24" t="str">
        <f t="shared" si="2"/>
        <v/>
      </c>
      <c r="S29" s="31" t="str">
        <f t="shared" si="3"/>
        <v/>
      </c>
    </row>
    <row r="30" ht="21.75" customHeight="1">
      <c r="A30" s="18">
        <v>23.0</v>
      </c>
      <c r="B30" s="32"/>
      <c r="C30" s="22"/>
      <c r="D30" s="33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3" t="str">
        <f t="shared" si="1"/>
        <v/>
      </c>
      <c r="R30" s="24" t="str">
        <f t="shared" si="2"/>
        <v/>
      </c>
      <c r="S30" s="25" t="str">
        <f t="shared" si="3"/>
        <v/>
      </c>
    </row>
    <row r="31" ht="21.75" customHeight="1">
      <c r="A31" s="26">
        <v>24.0</v>
      </c>
      <c r="B31" s="27"/>
      <c r="C31" s="28"/>
      <c r="D31" s="29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3" t="str">
        <f t="shared" si="1"/>
        <v/>
      </c>
      <c r="R31" s="24" t="str">
        <f t="shared" si="2"/>
        <v/>
      </c>
      <c r="S31" s="31" t="str">
        <f t="shared" si="3"/>
        <v/>
      </c>
    </row>
    <row r="32" ht="21.75" customHeight="1">
      <c r="A32" s="18">
        <v>25.0</v>
      </c>
      <c r="B32" s="32"/>
      <c r="C32" s="22"/>
      <c r="D32" s="33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3" t="str">
        <f t="shared" si="1"/>
        <v/>
      </c>
      <c r="R32" s="24" t="str">
        <f t="shared" si="2"/>
        <v/>
      </c>
      <c r="S32" s="25" t="str">
        <f t="shared" si="3"/>
        <v/>
      </c>
    </row>
    <row r="33" ht="21.75" customHeight="1">
      <c r="A33" s="26">
        <v>26.0</v>
      </c>
      <c r="B33" s="27"/>
      <c r="C33" s="28"/>
      <c r="D33" s="29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3" t="str">
        <f t="shared" si="1"/>
        <v/>
      </c>
      <c r="R33" s="24" t="str">
        <f t="shared" si="2"/>
        <v/>
      </c>
      <c r="S33" s="31" t="str">
        <f t="shared" si="3"/>
        <v/>
      </c>
    </row>
    <row r="34" ht="21.75" customHeight="1">
      <c r="A34" s="18">
        <v>27.0</v>
      </c>
      <c r="B34" s="32"/>
      <c r="C34" s="22"/>
      <c r="D34" s="33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3" t="str">
        <f t="shared" si="1"/>
        <v/>
      </c>
      <c r="R34" s="24" t="str">
        <f t="shared" si="2"/>
        <v/>
      </c>
      <c r="S34" s="25" t="str">
        <f t="shared" si="3"/>
        <v/>
      </c>
    </row>
    <row r="35" ht="21.75" customHeight="1">
      <c r="A35" s="26">
        <v>28.0</v>
      </c>
      <c r="B35" s="27"/>
      <c r="C35" s="28"/>
      <c r="D35" s="29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3" t="str">
        <f t="shared" si="1"/>
        <v/>
      </c>
      <c r="R35" s="24" t="str">
        <f t="shared" si="2"/>
        <v/>
      </c>
      <c r="S35" s="31" t="str">
        <f t="shared" si="3"/>
        <v/>
      </c>
    </row>
    <row r="36" ht="21.75" customHeight="1">
      <c r="A36" s="18">
        <v>29.0</v>
      </c>
      <c r="B36" s="32"/>
      <c r="C36" s="22"/>
      <c r="D36" s="33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3" t="str">
        <f t="shared" si="1"/>
        <v/>
      </c>
      <c r="R36" s="24" t="str">
        <f t="shared" si="2"/>
        <v/>
      </c>
      <c r="S36" s="25" t="str">
        <f t="shared" si="3"/>
        <v/>
      </c>
    </row>
    <row r="37" ht="21.75" customHeight="1">
      <c r="A37" s="26">
        <v>30.0</v>
      </c>
      <c r="B37" s="27"/>
      <c r="C37" s="28"/>
      <c r="D37" s="29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3" t="str">
        <f t="shared" si="1"/>
        <v/>
      </c>
      <c r="R37" s="24" t="str">
        <f t="shared" si="2"/>
        <v/>
      </c>
      <c r="S37" s="31" t="str">
        <f t="shared" si="3"/>
        <v/>
      </c>
    </row>
    <row r="38" ht="21.75" customHeight="1">
      <c r="A38" s="18">
        <v>31.0</v>
      </c>
      <c r="B38" s="32"/>
      <c r="C38" s="22"/>
      <c r="D38" s="33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3" t="str">
        <f t="shared" si="1"/>
        <v/>
      </c>
      <c r="R38" s="24" t="str">
        <f t="shared" si="2"/>
        <v/>
      </c>
      <c r="S38" s="25" t="str">
        <f t="shared" si="3"/>
        <v/>
      </c>
    </row>
    <row r="39" ht="21.75" customHeight="1">
      <c r="A39" s="26">
        <v>32.0</v>
      </c>
      <c r="B39" s="27"/>
      <c r="C39" s="28"/>
      <c r="D39" s="29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3" t="str">
        <f t="shared" si="1"/>
        <v/>
      </c>
      <c r="R39" s="24" t="str">
        <f t="shared" si="2"/>
        <v/>
      </c>
      <c r="S39" s="31" t="str">
        <f t="shared" si="3"/>
        <v/>
      </c>
    </row>
    <row r="40" ht="21.75" customHeight="1">
      <c r="A40" s="18">
        <v>33.0</v>
      </c>
      <c r="B40" s="32"/>
      <c r="C40" s="22"/>
      <c r="D40" s="33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3" t="str">
        <f t="shared" si="1"/>
        <v/>
      </c>
      <c r="R40" s="24" t="str">
        <f t="shared" si="2"/>
        <v/>
      </c>
      <c r="S40" s="25" t="str">
        <f t="shared" si="3"/>
        <v/>
      </c>
    </row>
    <row r="41" ht="21.75" customHeight="1">
      <c r="A41" s="26">
        <v>34.0</v>
      </c>
      <c r="B41" s="27"/>
      <c r="C41" s="28"/>
      <c r="D41" s="29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3" t="str">
        <f t="shared" si="1"/>
        <v/>
      </c>
      <c r="R41" s="24" t="str">
        <f t="shared" si="2"/>
        <v/>
      </c>
      <c r="S41" s="31" t="str">
        <f t="shared" si="3"/>
        <v/>
      </c>
    </row>
    <row r="42" ht="21.75" customHeight="1">
      <c r="A42" s="18">
        <v>35.0</v>
      </c>
      <c r="B42" s="32"/>
      <c r="C42" s="22"/>
      <c r="D42" s="33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3" t="str">
        <f t="shared" si="1"/>
        <v/>
      </c>
      <c r="R42" s="24" t="str">
        <f t="shared" si="2"/>
        <v/>
      </c>
      <c r="S42" s="25" t="str">
        <f t="shared" si="3"/>
        <v/>
      </c>
    </row>
    <row r="43" ht="21.75" customHeight="1">
      <c r="A43" s="26">
        <v>36.0</v>
      </c>
      <c r="B43" s="27"/>
      <c r="C43" s="28"/>
      <c r="D43" s="29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3" t="str">
        <f t="shared" si="1"/>
        <v/>
      </c>
      <c r="R43" s="24" t="str">
        <f t="shared" si="2"/>
        <v/>
      </c>
      <c r="S43" s="31" t="str">
        <f t="shared" si="3"/>
        <v/>
      </c>
    </row>
    <row r="44" ht="21.75" customHeight="1">
      <c r="A44" s="18">
        <v>37.0</v>
      </c>
      <c r="B44" s="32"/>
      <c r="C44" s="22"/>
      <c r="D44" s="33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3" t="str">
        <f t="shared" si="1"/>
        <v/>
      </c>
      <c r="R44" s="24" t="str">
        <f t="shared" si="2"/>
        <v/>
      </c>
      <c r="S44" s="25" t="str">
        <f t="shared" si="3"/>
        <v/>
      </c>
    </row>
    <row r="45" ht="21.75" customHeight="1">
      <c r="A45" s="26">
        <v>38.0</v>
      </c>
      <c r="B45" s="27"/>
      <c r="C45" s="28"/>
      <c r="D45" s="29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3" t="str">
        <f t="shared" si="1"/>
        <v/>
      </c>
      <c r="R45" s="24" t="str">
        <f t="shared" si="2"/>
        <v/>
      </c>
      <c r="S45" s="31" t="str">
        <f t="shared" si="3"/>
        <v/>
      </c>
    </row>
    <row r="46" ht="21.75" customHeight="1">
      <c r="A46" s="18">
        <v>39.0</v>
      </c>
      <c r="B46" s="32"/>
      <c r="C46" s="22"/>
      <c r="D46" s="33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3" t="str">
        <f t="shared" si="1"/>
        <v/>
      </c>
      <c r="R46" s="24" t="str">
        <f t="shared" si="2"/>
        <v/>
      </c>
      <c r="S46" s="25" t="str">
        <f t="shared" si="3"/>
        <v/>
      </c>
    </row>
    <row r="47" ht="21.75" customHeight="1">
      <c r="A47" s="26">
        <v>40.0</v>
      </c>
      <c r="B47" s="27"/>
      <c r="C47" s="28"/>
      <c r="D47" s="29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3" t="str">
        <f t="shared" si="1"/>
        <v/>
      </c>
      <c r="R47" s="24" t="str">
        <f t="shared" si="2"/>
        <v/>
      </c>
      <c r="S47" s="31" t="str">
        <f t="shared" si="3"/>
        <v/>
      </c>
    </row>
    <row r="48" ht="21.75" customHeight="1">
      <c r="A48" s="18">
        <v>41.0</v>
      </c>
      <c r="B48" s="32"/>
      <c r="C48" s="22"/>
      <c r="D48" s="33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3" t="str">
        <f t="shared" si="1"/>
        <v/>
      </c>
      <c r="R48" s="24" t="str">
        <f t="shared" si="2"/>
        <v/>
      </c>
      <c r="S48" s="25" t="str">
        <f t="shared" si="3"/>
        <v/>
      </c>
    </row>
    <row r="49" ht="21.75" customHeight="1">
      <c r="A49" s="26">
        <v>42.0</v>
      </c>
      <c r="B49" s="27"/>
      <c r="C49" s="28"/>
      <c r="D49" s="29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3" t="str">
        <f t="shared" si="1"/>
        <v/>
      </c>
      <c r="R49" s="24" t="str">
        <f t="shared" si="2"/>
        <v/>
      </c>
      <c r="S49" s="31" t="str">
        <f t="shared" si="3"/>
        <v/>
      </c>
    </row>
    <row r="50" ht="21.75" customHeight="1">
      <c r="A50" s="18">
        <v>43.0</v>
      </c>
      <c r="B50" s="32"/>
      <c r="C50" s="22"/>
      <c r="D50" s="33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3" t="str">
        <f t="shared" si="1"/>
        <v/>
      </c>
      <c r="R50" s="24" t="str">
        <f t="shared" si="2"/>
        <v/>
      </c>
      <c r="S50" s="25" t="str">
        <f t="shared" si="3"/>
        <v/>
      </c>
    </row>
    <row r="51" ht="21.75" customHeight="1">
      <c r="A51" s="26">
        <v>44.0</v>
      </c>
      <c r="B51" s="27"/>
      <c r="C51" s="28"/>
      <c r="D51" s="29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3" t="str">
        <f t="shared" si="1"/>
        <v/>
      </c>
      <c r="R51" s="24" t="str">
        <f t="shared" si="2"/>
        <v/>
      </c>
      <c r="S51" s="31" t="str">
        <f t="shared" si="3"/>
        <v/>
      </c>
    </row>
    <row r="52" ht="21.75" customHeight="1">
      <c r="A52" s="18">
        <v>45.0</v>
      </c>
      <c r="B52" s="32"/>
      <c r="C52" s="22"/>
      <c r="D52" s="33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3" t="str">
        <f t="shared" si="1"/>
        <v/>
      </c>
      <c r="R52" s="24" t="str">
        <f t="shared" si="2"/>
        <v/>
      </c>
      <c r="S52" s="25" t="str">
        <f t="shared" si="3"/>
        <v/>
      </c>
    </row>
    <row r="53" ht="21.75" customHeight="1">
      <c r="A53" s="26">
        <v>46.0</v>
      </c>
      <c r="B53" s="27"/>
      <c r="C53" s="28"/>
      <c r="D53" s="29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3" t="str">
        <f t="shared" si="1"/>
        <v/>
      </c>
      <c r="R53" s="24" t="str">
        <f t="shared" si="2"/>
        <v/>
      </c>
      <c r="S53" s="31" t="str">
        <f t="shared" si="3"/>
        <v/>
      </c>
    </row>
    <row r="54" ht="21.75" customHeight="1">
      <c r="A54" s="18">
        <v>47.0</v>
      </c>
      <c r="B54" s="32"/>
      <c r="C54" s="22"/>
      <c r="D54" s="33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3" t="str">
        <f t="shared" si="1"/>
        <v/>
      </c>
      <c r="R54" s="24" t="str">
        <f t="shared" si="2"/>
        <v/>
      </c>
      <c r="S54" s="25" t="str">
        <f t="shared" si="3"/>
        <v/>
      </c>
    </row>
    <row r="55" ht="21.75" customHeight="1">
      <c r="A55" s="26">
        <v>48.0</v>
      </c>
      <c r="B55" s="27"/>
      <c r="C55" s="28"/>
      <c r="D55" s="29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3" t="str">
        <f t="shared" si="1"/>
        <v/>
      </c>
      <c r="R55" s="24" t="str">
        <f t="shared" si="2"/>
        <v/>
      </c>
      <c r="S55" s="31" t="str">
        <f t="shared" si="3"/>
        <v/>
      </c>
    </row>
    <row r="56" ht="21.75" customHeight="1">
      <c r="A56" s="18">
        <v>49.0</v>
      </c>
      <c r="B56" s="32"/>
      <c r="C56" s="22"/>
      <c r="D56" s="33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3" t="str">
        <f t="shared" si="1"/>
        <v/>
      </c>
      <c r="R56" s="24" t="str">
        <f t="shared" si="2"/>
        <v/>
      </c>
      <c r="S56" s="25" t="str">
        <f t="shared" si="3"/>
        <v/>
      </c>
    </row>
    <row r="57" ht="21.75" customHeight="1">
      <c r="A57" s="26">
        <v>50.0</v>
      </c>
      <c r="B57" s="27"/>
      <c r="C57" s="28"/>
      <c r="D57" s="29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3" t="str">
        <f t="shared" si="1"/>
        <v/>
      </c>
      <c r="R57" s="24" t="str">
        <f t="shared" si="2"/>
        <v/>
      </c>
      <c r="S57" s="31" t="str">
        <f t="shared" si="3"/>
        <v/>
      </c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2:S2"/>
    <mergeCell ref="A3:S3"/>
    <mergeCell ref="A6:S6"/>
  </mergeCells>
  <conditionalFormatting sqref="S8:S57">
    <cfRule type="expression" dxfId="0" priority="1">
      <formula>S8="Paid"</formula>
    </cfRule>
  </conditionalFormatting>
  <conditionalFormatting sqref="S8:S57">
    <cfRule type="expression" dxfId="1" priority="2">
      <formula>S8="Pending"</formula>
    </cfRule>
  </conditionalFormatting>
  <conditionalFormatting sqref="R8:R57">
    <cfRule type="expression" dxfId="2" priority="3">
      <formula>AND(R8&gt;0,B8&lt;&gt;"")</formula>
    </cfRule>
  </conditionalFormatting>
  <conditionalFormatting sqref="Q8:Q57">
    <cfRule type="expression" dxfId="3" priority="4">
      <formula>AND(Q8&gt;0,B8&lt;&gt;"")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D9488"/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5.0"/>
    <col customWidth="1" min="2" max="2" width="24.0"/>
    <col customWidth="1" min="3" max="33" width="3.86"/>
    <col customWidth="1" min="34" max="36" width="9.0"/>
  </cols>
  <sheetData>
    <row r="1" ht="6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ht="37.5" customHeight="1">
      <c r="A2" s="34" t="s">
        <v>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4"/>
    </row>
    <row r="3" ht="15.75" customHeight="1">
      <c r="A3" s="5" t="s">
        <v>31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</row>
    <row r="4" ht="21.75" customHeight="1">
      <c r="A4" s="8" t="s">
        <v>32</v>
      </c>
      <c r="B4" s="7"/>
      <c r="C4" s="8" t="s">
        <v>33</v>
      </c>
      <c r="D4" s="35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</row>
    <row r="5" ht="30.0" customHeight="1">
      <c r="A5" s="17" t="s">
        <v>11</v>
      </c>
      <c r="B5" s="17" t="s">
        <v>12</v>
      </c>
      <c r="C5" s="36">
        <v>1.0</v>
      </c>
      <c r="D5" s="37">
        <v>2.0</v>
      </c>
      <c r="E5" s="36">
        <v>3.0</v>
      </c>
      <c r="F5" s="37">
        <v>4.0</v>
      </c>
      <c r="G5" s="36">
        <v>5.0</v>
      </c>
      <c r="H5" s="37">
        <v>6.0</v>
      </c>
      <c r="I5" s="36">
        <v>7.0</v>
      </c>
      <c r="J5" s="37">
        <v>8.0</v>
      </c>
      <c r="K5" s="36">
        <v>9.0</v>
      </c>
      <c r="L5" s="37">
        <v>10.0</v>
      </c>
      <c r="M5" s="36">
        <v>11.0</v>
      </c>
      <c r="N5" s="37">
        <v>12.0</v>
      </c>
      <c r="O5" s="36">
        <v>13.0</v>
      </c>
      <c r="P5" s="37">
        <v>14.0</v>
      </c>
      <c r="Q5" s="36">
        <v>15.0</v>
      </c>
      <c r="R5" s="37">
        <v>16.0</v>
      </c>
      <c r="S5" s="36">
        <v>17.0</v>
      </c>
      <c r="T5" s="37">
        <v>18.0</v>
      </c>
      <c r="U5" s="36">
        <v>19.0</v>
      </c>
      <c r="V5" s="37">
        <v>20.0</v>
      </c>
      <c r="W5" s="36">
        <v>21.0</v>
      </c>
      <c r="X5" s="37">
        <v>22.0</v>
      </c>
      <c r="Y5" s="36">
        <v>23.0</v>
      </c>
      <c r="Z5" s="37">
        <v>24.0</v>
      </c>
      <c r="AA5" s="36">
        <v>25.0</v>
      </c>
      <c r="AB5" s="37">
        <v>26.0</v>
      </c>
      <c r="AC5" s="36">
        <v>27.0</v>
      </c>
      <c r="AD5" s="37">
        <v>28.0</v>
      </c>
      <c r="AE5" s="36">
        <v>29.0</v>
      </c>
      <c r="AF5" s="37">
        <v>30.0</v>
      </c>
      <c r="AG5" s="36">
        <v>31.0</v>
      </c>
      <c r="AH5" s="17" t="s">
        <v>34</v>
      </c>
      <c r="AI5" s="17" t="s">
        <v>35</v>
      </c>
      <c r="AJ5" s="17" t="s">
        <v>36</v>
      </c>
    </row>
    <row r="6" ht="19.5" customHeight="1">
      <c r="A6" s="38">
        <v>1.0</v>
      </c>
      <c r="B6" s="32"/>
      <c r="C6" s="39" t="s">
        <v>37</v>
      </c>
      <c r="D6" s="39" t="s">
        <v>37</v>
      </c>
      <c r="E6" s="39" t="s">
        <v>37</v>
      </c>
      <c r="F6" s="40" t="s">
        <v>38</v>
      </c>
      <c r="G6" s="39" t="s">
        <v>37</v>
      </c>
      <c r="H6" s="39" t="s">
        <v>37</v>
      </c>
      <c r="I6" s="39" t="s">
        <v>37</v>
      </c>
      <c r="J6" s="39" t="s">
        <v>37</v>
      </c>
      <c r="K6" s="40" t="s">
        <v>38</v>
      </c>
      <c r="L6" s="39" t="s">
        <v>37</v>
      </c>
      <c r="M6" s="39" t="s">
        <v>37</v>
      </c>
      <c r="N6" s="39" t="s">
        <v>37</v>
      </c>
      <c r="O6" s="39" t="s">
        <v>37</v>
      </c>
      <c r="P6" s="39" t="s">
        <v>37</v>
      </c>
      <c r="Q6" s="39" t="s">
        <v>37</v>
      </c>
      <c r="R6" s="39" t="s">
        <v>37</v>
      </c>
      <c r="S6" s="41" t="s">
        <v>37</v>
      </c>
      <c r="T6" s="39" t="s">
        <v>37</v>
      </c>
      <c r="U6" s="39" t="s">
        <v>37</v>
      </c>
      <c r="V6" s="39" t="s">
        <v>37</v>
      </c>
      <c r="W6" s="39" t="s">
        <v>37</v>
      </c>
      <c r="X6" s="39" t="s">
        <v>37</v>
      </c>
      <c r="Y6" s="39" t="s">
        <v>37</v>
      </c>
      <c r="Z6" s="39" t="s">
        <v>37</v>
      </c>
      <c r="AA6" s="39" t="s">
        <v>37</v>
      </c>
      <c r="AB6" s="40" t="s">
        <v>38</v>
      </c>
      <c r="AC6" s="39" t="s">
        <v>37</v>
      </c>
      <c r="AD6" s="39" t="s">
        <v>37</v>
      </c>
      <c r="AE6" s="39" t="s">
        <v>37</v>
      </c>
      <c r="AF6" s="25"/>
      <c r="AG6" s="42" t="s">
        <v>37</v>
      </c>
      <c r="AH6" s="23" t="str">
        <f t="shared" ref="AH6:AH55" si="1">IF(B6="","",SUMPRODUCT((UPPER(C6:AG6)="P")*1))</f>
        <v/>
      </c>
      <c r="AI6" s="24" t="str">
        <f t="shared" ref="AI6:AI55" si="2">IF(B6="","",SUMPRODUCT((UPPER(C6:AG6)="A")*1))</f>
        <v/>
      </c>
      <c r="AJ6" s="43" t="str">
        <f t="shared" ref="AJ6:AJ55" si="3">IF(B6="","",IF((AH6+AI6)=0,"-",AH6/(AH6+AI6)))</f>
        <v/>
      </c>
    </row>
    <row r="7" ht="19.5" customHeight="1">
      <c r="A7" s="44">
        <v>2.0</v>
      </c>
      <c r="B7" s="27"/>
      <c r="C7" s="39" t="s">
        <v>37</v>
      </c>
      <c r="D7" s="39" t="s">
        <v>37</v>
      </c>
      <c r="E7" s="40" t="s">
        <v>38</v>
      </c>
      <c r="F7" s="39" t="s">
        <v>37</v>
      </c>
      <c r="G7" s="39" t="s">
        <v>37</v>
      </c>
      <c r="H7" s="39" t="s">
        <v>37</v>
      </c>
      <c r="I7" s="39" t="s">
        <v>37</v>
      </c>
      <c r="J7" s="39" t="s">
        <v>37</v>
      </c>
      <c r="K7" s="39" t="s">
        <v>37</v>
      </c>
      <c r="L7" s="39" t="s">
        <v>37</v>
      </c>
      <c r="M7" s="40" t="s">
        <v>38</v>
      </c>
      <c r="N7" s="39" t="s">
        <v>37</v>
      </c>
      <c r="O7" s="39" t="s">
        <v>37</v>
      </c>
      <c r="P7" s="39" t="s">
        <v>37</v>
      </c>
      <c r="Q7" s="39" t="s">
        <v>37</v>
      </c>
      <c r="R7" s="39" t="s">
        <v>37</v>
      </c>
      <c r="S7" s="39" t="s">
        <v>37</v>
      </c>
      <c r="T7" s="39" t="s">
        <v>37</v>
      </c>
      <c r="U7" s="39" t="s">
        <v>37</v>
      </c>
      <c r="V7" s="40" t="s">
        <v>38</v>
      </c>
      <c r="W7" s="39" t="s">
        <v>37</v>
      </c>
      <c r="X7" s="39" t="s">
        <v>37</v>
      </c>
      <c r="Y7" s="39" t="s">
        <v>37</v>
      </c>
      <c r="Z7" s="39" t="s">
        <v>37</v>
      </c>
      <c r="AA7" s="40" t="s">
        <v>38</v>
      </c>
      <c r="AB7" s="40" t="s">
        <v>38</v>
      </c>
      <c r="AC7" s="39" t="s">
        <v>37</v>
      </c>
      <c r="AD7" s="39" t="s">
        <v>37</v>
      </c>
      <c r="AE7" s="39" t="s">
        <v>37</v>
      </c>
      <c r="AF7" s="31"/>
      <c r="AG7" s="31"/>
      <c r="AH7" s="23" t="str">
        <f t="shared" si="1"/>
        <v/>
      </c>
      <c r="AI7" s="24" t="str">
        <f t="shared" si="2"/>
        <v/>
      </c>
      <c r="AJ7" s="43" t="str">
        <f t="shared" si="3"/>
        <v/>
      </c>
    </row>
    <row r="8" ht="19.5" customHeight="1">
      <c r="A8" s="38">
        <v>3.0</v>
      </c>
      <c r="B8" s="32"/>
      <c r="C8" s="39" t="s">
        <v>37</v>
      </c>
      <c r="D8" s="39" t="s">
        <v>37</v>
      </c>
      <c r="E8" s="39" t="s">
        <v>37</v>
      </c>
      <c r="F8" s="39" t="s">
        <v>37</v>
      </c>
      <c r="G8" s="39" t="s">
        <v>37</v>
      </c>
      <c r="H8" s="39" t="s">
        <v>37</v>
      </c>
      <c r="I8" s="39" t="s">
        <v>37</v>
      </c>
      <c r="J8" s="39" t="s">
        <v>37</v>
      </c>
      <c r="K8" s="39" t="s">
        <v>37</v>
      </c>
      <c r="L8" s="39" t="s">
        <v>37</v>
      </c>
      <c r="M8" s="39" t="s">
        <v>37</v>
      </c>
      <c r="N8" s="39" t="s">
        <v>37</v>
      </c>
      <c r="O8" s="39" t="s">
        <v>37</v>
      </c>
      <c r="P8" s="39" t="s">
        <v>37</v>
      </c>
      <c r="Q8" s="39" t="s">
        <v>37</v>
      </c>
      <c r="R8" s="39" t="s">
        <v>37</v>
      </c>
      <c r="S8" s="39" t="s">
        <v>37</v>
      </c>
      <c r="T8" s="39" t="s">
        <v>37</v>
      </c>
      <c r="U8" s="39" t="s">
        <v>37</v>
      </c>
      <c r="V8" s="39" t="s">
        <v>37</v>
      </c>
      <c r="W8" s="39" t="s">
        <v>37</v>
      </c>
      <c r="X8" s="39" t="s">
        <v>37</v>
      </c>
      <c r="Y8" s="39" t="s">
        <v>37</v>
      </c>
      <c r="Z8" s="39" t="s">
        <v>37</v>
      </c>
      <c r="AA8" s="39" t="s">
        <v>37</v>
      </c>
      <c r="AB8" s="39" t="s">
        <v>37</v>
      </c>
      <c r="AC8" s="39" t="s">
        <v>37</v>
      </c>
      <c r="AD8" s="39" t="s">
        <v>37</v>
      </c>
      <c r="AE8" s="25"/>
      <c r="AF8" s="25"/>
      <c r="AG8" s="25"/>
      <c r="AH8" s="23" t="str">
        <f t="shared" si="1"/>
        <v/>
      </c>
      <c r="AI8" s="24" t="str">
        <f t="shared" si="2"/>
        <v/>
      </c>
      <c r="AJ8" s="43" t="str">
        <f t="shared" si="3"/>
        <v/>
      </c>
    </row>
    <row r="9" ht="19.5" customHeight="1">
      <c r="A9" s="44">
        <v>4.0</v>
      </c>
      <c r="B9" s="27"/>
      <c r="C9" s="39" t="s">
        <v>37</v>
      </c>
      <c r="D9" s="39" t="s">
        <v>37</v>
      </c>
      <c r="E9" s="40" t="s">
        <v>38</v>
      </c>
      <c r="F9" s="39" t="s">
        <v>37</v>
      </c>
      <c r="G9" s="39" t="s">
        <v>37</v>
      </c>
      <c r="H9" s="39" t="s">
        <v>37</v>
      </c>
      <c r="I9" s="45" t="s">
        <v>39</v>
      </c>
      <c r="J9" s="39" t="s">
        <v>37</v>
      </c>
      <c r="K9" s="39" t="s">
        <v>37</v>
      </c>
      <c r="L9" s="39" t="s">
        <v>37</v>
      </c>
      <c r="M9" s="40" t="s">
        <v>38</v>
      </c>
      <c r="N9" s="39" t="s">
        <v>37</v>
      </c>
      <c r="O9" s="39" t="s">
        <v>37</v>
      </c>
      <c r="P9" s="39" t="s">
        <v>37</v>
      </c>
      <c r="Q9" s="39" t="s">
        <v>37</v>
      </c>
      <c r="R9" s="39" t="s">
        <v>37</v>
      </c>
      <c r="S9" s="39" t="s">
        <v>37</v>
      </c>
      <c r="T9" s="40" t="s">
        <v>38</v>
      </c>
      <c r="U9" s="39" t="s">
        <v>37</v>
      </c>
      <c r="V9" s="39" t="s">
        <v>37</v>
      </c>
      <c r="W9" s="39" t="s">
        <v>37</v>
      </c>
      <c r="X9" s="39" t="s">
        <v>37</v>
      </c>
      <c r="Y9" s="39" t="s">
        <v>37</v>
      </c>
      <c r="Z9" s="39" t="s">
        <v>37</v>
      </c>
      <c r="AA9" s="39" t="s">
        <v>37</v>
      </c>
      <c r="AB9" s="40" t="s">
        <v>38</v>
      </c>
      <c r="AC9" s="39" t="s">
        <v>37</v>
      </c>
      <c r="AD9" s="39" t="s">
        <v>37</v>
      </c>
      <c r="AE9" s="39" t="s">
        <v>37</v>
      </c>
      <c r="AF9" s="31"/>
      <c r="AG9" s="31"/>
      <c r="AH9" s="23" t="str">
        <f t="shared" si="1"/>
        <v/>
      </c>
      <c r="AI9" s="24" t="str">
        <f t="shared" si="2"/>
        <v/>
      </c>
      <c r="AJ9" s="43" t="str">
        <f t="shared" si="3"/>
        <v/>
      </c>
    </row>
    <row r="10" ht="19.5" customHeight="1">
      <c r="A10" s="38">
        <v>5.0</v>
      </c>
      <c r="B10" s="3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3" t="str">
        <f t="shared" si="1"/>
        <v/>
      </c>
      <c r="AI10" s="24" t="str">
        <f t="shared" si="2"/>
        <v/>
      </c>
      <c r="AJ10" s="43" t="str">
        <f t="shared" si="3"/>
        <v/>
      </c>
    </row>
    <row r="11" ht="19.5" customHeight="1">
      <c r="A11" s="44">
        <v>6.0</v>
      </c>
      <c r="B11" s="27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23" t="str">
        <f t="shared" si="1"/>
        <v/>
      </c>
      <c r="AI11" s="24" t="str">
        <f t="shared" si="2"/>
        <v/>
      </c>
      <c r="AJ11" s="43" t="str">
        <f t="shared" si="3"/>
        <v/>
      </c>
    </row>
    <row r="12" ht="19.5" customHeight="1">
      <c r="A12" s="38">
        <v>7.0</v>
      </c>
      <c r="B12" s="32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3" t="str">
        <f t="shared" si="1"/>
        <v/>
      </c>
      <c r="AI12" s="24" t="str">
        <f t="shared" si="2"/>
        <v/>
      </c>
      <c r="AJ12" s="43" t="str">
        <f t="shared" si="3"/>
        <v/>
      </c>
    </row>
    <row r="13" ht="19.5" customHeight="1">
      <c r="A13" s="44">
        <v>8.0</v>
      </c>
      <c r="B13" s="27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23" t="str">
        <f t="shared" si="1"/>
        <v/>
      </c>
      <c r="AI13" s="24" t="str">
        <f t="shared" si="2"/>
        <v/>
      </c>
      <c r="AJ13" s="43" t="str">
        <f t="shared" si="3"/>
        <v/>
      </c>
    </row>
    <row r="14" ht="19.5" customHeight="1">
      <c r="A14" s="38">
        <v>9.0</v>
      </c>
      <c r="B14" s="32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3" t="str">
        <f t="shared" si="1"/>
        <v/>
      </c>
      <c r="AI14" s="24" t="str">
        <f t="shared" si="2"/>
        <v/>
      </c>
      <c r="AJ14" s="43" t="str">
        <f t="shared" si="3"/>
        <v/>
      </c>
    </row>
    <row r="15" ht="19.5" customHeight="1">
      <c r="A15" s="44">
        <v>10.0</v>
      </c>
      <c r="B15" s="27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23" t="str">
        <f t="shared" si="1"/>
        <v/>
      </c>
      <c r="AI15" s="24" t="str">
        <f t="shared" si="2"/>
        <v/>
      </c>
      <c r="AJ15" s="43" t="str">
        <f t="shared" si="3"/>
        <v/>
      </c>
    </row>
    <row r="16" ht="19.5" customHeight="1">
      <c r="A16" s="38">
        <v>11.0</v>
      </c>
      <c r="B16" s="3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3" t="str">
        <f t="shared" si="1"/>
        <v/>
      </c>
      <c r="AI16" s="24" t="str">
        <f t="shared" si="2"/>
        <v/>
      </c>
      <c r="AJ16" s="43" t="str">
        <f t="shared" si="3"/>
        <v/>
      </c>
    </row>
    <row r="17" ht="19.5" customHeight="1">
      <c r="A17" s="44">
        <v>12.0</v>
      </c>
      <c r="B17" s="27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23" t="str">
        <f t="shared" si="1"/>
        <v/>
      </c>
      <c r="AI17" s="24" t="str">
        <f t="shared" si="2"/>
        <v/>
      </c>
      <c r="AJ17" s="43" t="str">
        <f t="shared" si="3"/>
        <v/>
      </c>
    </row>
    <row r="18" ht="19.5" customHeight="1">
      <c r="A18" s="38">
        <v>13.0</v>
      </c>
      <c r="B18" s="32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3" t="str">
        <f t="shared" si="1"/>
        <v/>
      </c>
      <c r="AI18" s="24" t="str">
        <f t="shared" si="2"/>
        <v/>
      </c>
      <c r="AJ18" s="43" t="str">
        <f t="shared" si="3"/>
        <v/>
      </c>
    </row>
    <row r="19" ht="19.5" customHeight="1">
      <c r="A19" s="44">
        <v>14.0</v>
      </c>
      <c r="B19" s="27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23" t="str">
        <f t="shared" si="1"/>
        <v/>
      </c>
      <c r="AI19" s="24" t="str">
        <f t="shared" si="2"/>
        <v/>
      </c>
      <c r="AJ19" s="43" t="str">
        <f t="shared" si="3"/>
        <v/>
      </c>
    </row>
    <row r="20" ht="19.5" customHeight="1">
      <c r="A20" s="38">
        <v>15.0</v>
      </c>
      <c r="B20" s="32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3" t="str">
        <f t="shared" si="1"/>
        <v/>
      </c>
      <c r="AI20" s="24" t="str">
        <f t="shared" si="2"/>
        <v/>
      </c>
      <c r="AJ20" s="43" t="str">
        <f t="shared" si="3"/>
        <v/>
      </c>
    </row>
    <row r="21" ht="19.5" customHeight="1">
      <c r="A21" s="44">
        <v>16.0</v>
      </c>
      <c r="B21" s="27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23" t="str">
        <f t="shared" si="1"/>
        <v/>
      </c>
      <c r="AI21" s="24" t="str">
        <f t="shared" si="2"/>
        <v/>
      </c>
      <c r="AJ21" s="43" t="str">
        <f t="shared" si="3"/>
        <v/>
      </c>
    </row>
    <row r="22" ht="19.5" customHeight="1">
      <c r="A22" s="38">
        <v>17.0</v>
      </c>
      <c r="B22" s="32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3" t="str">
        <f t="shared" si="1"/>
        <v/>
      </c>
      <c r="AI22" s="24" t="str">
        <f t="shared" si="2"/>
        <v/>
      </c>
      <c r="AJ22" s="43" t="str">
        <f t="shared" si="3"/>
        <v/>
      </c>
    </row>
    <row r="23" ht="19.5" customHeight="1">
      <c r="A23" s="44">
        <v>18.0</v>
      </c>
      <c r="B23" s="27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23" t="str">
        <f t="shared" si="1"/>
        <v/>
      </c>
      <c r="AI23" s="24" t="str">
        <f t="shared" si="2"/>
        <v/>
      </c>
      <c r="AJ23" s="43" t="str">
        <f t="shared" si="3"/>
        <v/>
      </c>
    </row>
    <row r="24" ht="19.5" customHeight="1">
      <c r="A24" s="38">
        <v>19.0</v>
      </c>
      <c r="B24" s="32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3" t="str">
        <f t="shared" si="1"/>
        <v/>
      </c>
      <c r="AI24" s="24" t="str">
        <f t="shared" si="2"/>
        <v/>
      </c>
      <c r="AJ24" s="43" t="str">
        <f t="shared" si="3"/>
        <v/>
      </c>
    </row>
    <row r="25" ht="19.5" customHeight="1">
      <c r="A25" s="44">
        <v>20.0</v>
      </c>
      <c r="B25" s="27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23" t="str">
        <f t="shared" si="1"/>
        <v/>
      </c>
      <c r="AI25" s="24" t="str">
        <f t="shared" si="2"/>
        <v/>
      </c>
      <c r="AJ25" s="43" t="str">
        <f t="shared" si="3"/>
        <v/>
      </c>
    </row>
    <row r="26" ht="19.5" customHeight="1">
      <c r="A26" s="38">
        <v>21.0</v>
      </c>
      <c r="B26" s="32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3" t="str">
        <f t="shared" si="1"/>
        <v/>
      </c>
      <c r="AI26" s="24" t="str">
        <f t="shared" si="2"/>
        <v/>
      </c>
      <c r="AJ26" s="43" t="str">
        <f t="shared" si="3"/>
        <v/>
      </c>
    </row>
    <row r="27" ht="19.5" customHeight="1">
      <c r="A27" s="44">
        <v>22.0</v>
      </c>
      <c r="B27" s="27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23" t="str">
        <f t="shared" si="1"/>
        <v/>
      </c>
      <c r="AI27" s="24" t="str">
        <f t="shared" si="2"/>
        <v/>
      </c>
      <c r="AJ27" s="43" t="str">
        <f t="shared" si="3"/>
        <v/>
      </c>
    </row>
    <row r="28" ht="19.5" customHeight="1">
      <c r="A28" s="38">
        <v>23.0</v>
      </c>
      <c r="B28" s="32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3" t="str">
        <f t="shared" si="1"/>
        <v/>
      </c>
      <c r="AI28" s="24" t="str">
        <f t="shared" si="2"/>
        <v/>
      </c>
      <c r="AJ28" s="43" t="str">
        <f t="shared" si="3"/>
        <v/>
      </c>
    </row>
    <row r="29" ht="19.5" customHeight="1">
      <c r="A29" s="44">
        <v>24.0</v>
      </c>
      <c r="B29" s="27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23" t="str">
        <f t="shared" si="1"/>
        <v/>
      </c>
      <c r="AI29" s="24" t="str">
        <f t="shared" si="2"/>
        <v/>
      </c>
      <c r="AJ29" s="43" t="str">
        <f t="shared" si="3"/>
        <v/>
      </c>
    </row>
    <row r="30" ht="19.5" customHeight="1">
      <c r="A30" s="38">
        <v>25.0</v>
      </c>
      <c r="B30" s="3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3" t="str">
        <f t="shared" si="1"/>
        <v/>
      </c>
      <c r="AI30" s="24" t="str">
        <f t="shared" si="2"/>
        <v/>
      </c>
      <c r="AJ30" s="43" t="str">
        <f t="shared" si="3"/>
        <v/>
      </c>
    </row>
    <row r="31" ht="19.5" customHeight="1">
      <c r="A31" s="44">
        <v>26.0</v>
      </c>
      <c r="B31" s="27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23" t="str">
        <f t="shared" si="1"/>
        <v/>
      </c>
      <c r="AI31" s="24" t="str">
        <f t="shared" si="2"/>
        <v/>
      </c>
      <c r="AJ31" s="43" t="str">
        <f t="shared" si="3"/>
        <v/>
      </c>
    </row>
    <row r="32" ht="19.5" customHeight="1">
      <c r="A32" s="38">
        <v>27.0</v>
      </c>
      <c r="B32" s="32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3" t="str">
        <f t="shared" si="1"/>
        <v/>
      </c>
      <c r="AI32" s="24" t="str">
        <f t="shared" si="2"/>
        <v/>
      </c>
      <c r="AJ32" s="43" t="str">
        <f t="shared" si="3"/>
        <v/>
      </c>
    </row>
    <row r="33" ht="19.5" customHeight="1">
      <c r="A33" s="44">
        <v>28.0</v>
      </c>
      <c r="B33" s="27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23" t="str">
        <f t="shared" si="1"/>
        <v/>
      </c>
      <c r="AI33" s="24" t="str">
        <f t="shared" si="2"/>
        <v/>
      </c>
      <c r="AJ33" s="43" t="str">
        <f t="shared" si="3"/>
        <v/>
      </c>
    </row>
    <row r="34" ht="19.5" customHeight="1">
      <c r="A34" s="38">
        <v>29.0</v>
      </c>
      <c r="B34" s="32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3" t="str">
        <f t="shared" si="1"/>
        <v/>
      </c>
      <c r="AI34" s="24" t="str">
        <f t="shared" si="2"/>
        <v/>
      </c>
      <c r="AJ34" s="43" t="str">
        <f t="shared" si="3"/>
        <v/>
      </c>
    </row>
    <row r="35" ht="19.5" customHeight="1">
      <c r="A35" s="44">
        <v>30.0</v>
      </c>
      <c r="B35" s="27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23" t="str">
        <f t="shared" si="1"/>
        <v/>
      </c>
      <c r="AI35" s="24" t="str">
        <f t="shared" si="2"/>
        <v/>
      </c>
      <c r="AJ35" s="43" t="str">
        <f t="shared" si="3"/>
        <v/>
      </c>
    </row>
    <row r="36" ht="19.5" customHeight="1">
      <c r="A36" s="38">
        <v>31.0</v>
      </c>
      <c r="B36" s="32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3" t="str">
        <f t="shared" si="1"/>
        <v/>
      </c>
      <c r="AI36" s="24" t="str">
        <f t="shared" si="2"/>
        <v/>
      </c>
      <c r="AJ36" s="43" t="str">
        <f t="shared" si="3"/>
        <v/>
      </c>
    </row>
    <row r="37" ht="19.5" customHeight="1">
      <c r="A37" s="44">
        <v>32.0</v>
      </c>
      <c r="B37" s="27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23" t="str">
        <f t="shared" si="1"/>
        <v/>
      </c>
      <c r="AI37" s="24" t="str">
        <f t="shared" si="2"/>
        <v/>
      </c>
      <c r="AJ37" s="43" t="str">
        <f t="shared" si="3"/>
        <v/>
      </c>
    </row>
    <row r="38" ht="19.5" customHeight="1">
      <c r="A38" s="38">
        <v>33.0</v>
      </c>
      <c r="B38" s="32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3" t="str">
        <f t="shared" si="1"/>
        <v/>
      </c>
      <c r="AI38" s="24" t="str">
        <f t="shared" si="2"/>
        <v/>
      </c>
      <c r="AJ38" s="43" t="str">
        <f t="shared" si="3"/>
        <v/>
      </c>
    </row>
    <row r="39" ht="19.5" customHeight="1">
      <c r="A39" s="44">
        <v>34.0</v>
      </c>
      <c r="B39" s="27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23" t="str">
        <f t="shared" si="1"/>
        <v/>
      </c>
      <c r="AI39" s="24" t="str">
        <f t="shared" si="2"/>
        <v/>
      </c>
      <c r="AJ39" s="43" t="str">
        <f t="shared" si="3"/>
        <v/>
      </c>
    </row>
    <row r="40" ht="19.5" customHeight="1">
      <c r="A40" s="38">
        <v>35.0</v>
      </c>
      <c r="B40" s="32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3" t="str">
        <f t="shared" si="1"/>
        <v/>
      </c>
      <c r="AI40" s="24" t="str">
        <f t="shared" si="2"/>
        <v/>
      </c>
      <c r="AJ40" s="43" t="str">
        <f t="shared" si="3"/>
        <v/>
      </c>
    </row>
    <row r="41" ht="19.5" customHeight="1">
      <c r="A41" s="44">
        <v>36.0</v>
      </c>
      <c r="B41" s="27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23" t="str">
        <f t="shared" si="1"/>
        <v/>
      </c>
      <c r="AI41" s="24" t="str">
        <f t="shared" si="2"/>
        <v/>
      </c>
      <c r="AJ41" s="43" t="str">
        <f t="shared" si="3"/>
        <v/>
      </c>
    </row>
    <row r="42" ht="19.5" customHeight="1">
      <c r="A42" s="38">
        <v>37.0</v>
      </c>
      <c r="B42" s="3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3" t="str">
        <f t="shared" si="1"/>
        <v/>
      </c>
      <c r="AI42" s="24" t="str">
        <f t="shared" si="2"/>
        <v/>
      </c>
      <c r="AJ42" s="43" t="str">
        <f t="shared" si="3"/>
        <v/>
      </c>
    </row>
    <row r="43" ht="19.5" customHeight="1">
      <c r="A43" s="44">
        <v>38.0</v>
      </c>
      <c r="B43" s="27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23" t="str">
        <f t="shared" si="1"/>
        <v/>
      </c>
      <c r="AI43" s="24" t="str">
        <f t="shared" si="2"/>
        <v/>
      </c>
      <c r="AJ43" s="43" t="str">
        <f t="shared" si="3"/>
        <v/>
      </c>
    </row>
    <row r="44" ht="19.5" customHeight="1">
      <c r="A44" s="38">
        <v>39.0</v>
      </c>
      <c r="B44" s="3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3" t="str">
        <f t="shared" si="1"/>
        <v/>
      </c>
      <c r="AI44" s="24" t="str">
        <f t="shared" si="2"/>
        <v/>
      </c>
      <c r="AJ44" s="43" t="str">
        <f t="shared" si="3"/>
        <v/>
      </c>
    </row>
    <row r="45" ht="19.5" customHeight="1">
      <c r="A45" s="44">
        <v>40.0</v>
      </c>
      <c r="B45" s="27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23" t="str">
        <f t="shared" si="1"/>
        <v/>
      </c>
      <c r="AI45" s="24" t="str">
        <f t="shared" si="2"/>
        <v/>
      </c>
      <c r="AJ45" s="43" t="str">
        <f t="shared" si="3"/>
        <v/>
      </c>
    </row>
    <row r="46" ht="19.5" customHeight="1">
      <c r="A46" s="38">
        <v>41.0</v>
      </c>
      <c r="B46" s="32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3" t="str">
        <f t="shared" si="1"/>
        <v/>
      </c>
      <c r="AI46" s="24" t="str">
        <f t="shared" si="2"/>
        <v/>
      </c>
      <c r="AJ46" s="43" t="str">
        <f t="shared" si="3"/>
        <v/>
      </c>
    </row>
    <row r="47" ht="19.5" customHeight="1">
      <c r="A47" s="44">
        <v>42.0</v>
      </c>
      <c r="B47" s="27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23" t="str">
        <f t="shared" si="1"/>
        <v/>
      </c>
      <c r="AI47" s="24" t="str">
        <f t="shared" si="2"/>
        <v/>
      </c>
      <c r="AJ47" s="43" t="str">
        <f t="shared" si="3"/>
        <v/>
      </c>
    </row>
    <row r="48" ht="19.5" customHeight="1">
      <c r="A48" s="38">
        <v>43.0</v>
      </c>
      <c r="B48" s="32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3" t="str">
        <f t="shared" si="1"/>
        <v/>
      </c>
      <c r="AI48" s="24" t="str">
        <f t="shared" si="2"/>
        <v/>
      </c>
      <c r="AJ48" s="43" t="str">
        <f t="shared" si="3"/>
        <v/>
      </c>
    </row>
    <row r="49" ht="19.5" customHeight="1">
      <c r="A49" s="44">
        <v>44.0</v>
      </c>
      <c r="B49" s="27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23" t="str">
        <f t="shared" si="1"/>
        <v/>
      </c>
      <c r="AI49" s="24" t="str">
        <f t="shared" si="2"/>
        <v/>
      </c>
      <c r="AJ49" s="43" t="str">
        <f t="shared" si="3"/>
        <v/>
      </c>
    </row>
    <row r="50" ht="19.5" customHeight="1">
      <c r="A50" s="38">
        <v>45.0</v>
      </c>
      <c r="B50" s="3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3" t="str">
        <f t="shared" si="1"/>
        <v/>
      </c>
      <c r="AI50" s="24" t="str">
        <f t="shared" si="2"/>
        <v/>
      </c>
      <c r="AJ50" s="43" t="str">
        <f t="shared" si="3"/>
        <v/>
      </c>
    </row>
    <row r="51" ht="19.5" customHeight="1">
      <c r="A51" s="44">
        <v>46.0</v>
      </c>
      <c r="B51" s="27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23" t="str">
        <f t="shared" si="1"/>
        <v/>
      </c>
      <c r="AI51" s="24" t="str">
        <f t="shared" si="2"/>
        <v/>
      </c>
      <c r="AJ51" s="43" t="str">
        <f t="shared" si="3"/>
        <v/>
      </c>
    </row>
    <row r="52" ht="19.5" customHeight="1">
      <c r="A52" s="38">
        <v>47.0</v>
      </c>
      <c r="B52" s="3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3" t="str">
        <f t="shared" si="1"/>
        <v/>
      </c>
      <c r="AI52" s="24" t="str">
        <f t="shared" si="2"/>
        <v/>
      </c>
      <c r="AJ52" s="43" t="str">
        <f t="shared" si="3"/>
        <v/>
      </c>
    </row>
    <row r="53" ht="19.5" customHeight="1">
      <c r="A53" s="44">
        <v>48.0</v>
      </c>
      <c r="B53" s="27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23" t="str">
        <f t="shared" si="1"/>
        <v/>
      </c>
      <c r="AI53" s="24" t="str">
        <f t="shared" si="2"/>
        <v/>
      </c>
      <c r="AJ53" s="43" t="str">
        <f t="shared" si="3"/>
        <v/>
      </c>
    </row>
    <row r="54" ht="19.5" customHeight="1">
      <c r="A54" s="38">
        <v>49.0</v>
      </c>
      <c r="B54" s="32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3" t="str">
        <f t="shared" si="1"/>
        <v/>
      </c>
      <c r="AI54" s="24" t="str">
        <f t="shared" si="2"/>
        <v/>
      </c>
      <c r="AJ54" s="43" t="str">
        <f t="shared" si="3"/>
        <v/>
      </c>
    </row>
    <row r="55" ht="19.5" customHeight="1">
      <c r="A55" s="44">
        <v>50.0</v>
      </c>
      <c r="B55" s="27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23" t="str">
        <f t="shared" si="1"/>
        <v/>
      </c>
      <c r="AI55" s="24" t="str">
        <f t="shared" si="2"/>
        <v/>
      </c>
      <c r="AJ55" s="43" t="str">
        <f t="shared" si="3"/>
        <v/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AJ2"/>
    <mergeCell ref="A3:AJ3"/>
  </mergeCells>
  <conditionalFormatting sqref="C6:AG55">
    <cfRule type="expression" dxfId="0" priority="1">
      <formula>UPPER(C6)="P"</formula>
    </cfRule>
  </conditionalFormatting>
  <conditionalFormatting sqref="C6:AG55">
    <cfRule type="expression" dxfId="1" priority="2">
      <formula>UPPER(C6)="A"</formula>
    </cfRule>
  </conditionalFormatting>
  <conditionalFormatting sqref="C6:AG55">
    <cfRule type="expression" dxfId="4" priority="3">
      <formula>UPPER(C6)="L"</formula>
    </cfRule>
  </conditionalFormatting>
  <dataValidations>
    <dataValidation type="list" allowBlank="1" showInputMessage="1" showErrorMessage="1" prompt="Attendance - Enter P, A, or L" sqref="C6:AG55">
      <formula1>"P,A,L"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9E0B"/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30.0"/>
    <col customWidth="1" min="3" max="3" width="58.0"/>
    <col customWidth="1" min="4" max="26" width="8.71"/>
  </cols>
  <sheetData>
    <row r="1">
      <c r="A1" s="1"/>
      <c r="B1" s="1"/>
      <c r="C1" s="1"/>
    </row>
    <row r="2" ht="39.75" customHeight="1">
      <c r="A2" s="34" t="s">
        <v>40</v>
      </c>
      <c r="B2" s="3"/>
      <c r="C2" s="4"/>
    </row>
    <row r="3" ht="18.0" customHeight="1">
      <c r="A3" s="5" t="s">
        <v>41</v>
      </c>
      <c r="B3" s="3"/>
      <c r="C3" s="4"/>
    </row>
    <row r="4" ht="19.5" customHeight="1">
      <c r="A4" s="46" t="s">
        <v>42</v>
      </c>
      <c r="B4" s="47" t="s">
        <v>43</v>
      </c>
      <c r="C4" s="48" t="s">
        <v>44</v>
      </c>
    </row>
    <row r="5" ht="19.5" customHeight="1">
      <c r="B5" s="49"/>
      <c r="C5" s="50" t="s">
        <v>45</v>
      </c>
    </row>
    <row r="6" ht="19.5" customHeight="1">
      <c r="B6" s="49"/>
      <c r="C6" s="50" t="s">
        <v>46</v>
      </c>
    </row>
    <row r="7" ht="19.5" customHeight="1">
      <c r="B7" s="49"/>
      <c r="C7" s="50" t="s">
        <v>47</v>
      </c>
    </row>
    <row r="8" ht="7.5" customHeight="1"/>
    <row r="9" ht="19.5" customHeight="1">
      <c r="A9" s="46" t="s">
        <v>48</v>
      </c>
      <c r="B9" s="47" t="s">
        <v>49</v>
      </c>
      <c r="C9" s="48" t="s">
        <v>50</v>
      </c>
    </row>
    <row r="10" ht="19.5" customHeight="1">
      <c r="B10" s="49"/>
      <c r="C10" s="50" t="s">
        <v>51</v>
      </c>
    </row>
    <row r="11" ht="19.5" customHeight="1">
      <c r="B11" s="49"/>
      <c r="C11" s="50" t="s">
        <v>52</v>
      </c>
    </row>
    <row r="12" ht="19.5" customHeight="1">
      <c r="B12" s="49"/>
      <c r="C12" s="50" t="s">
        <v>53</v>
      </c>
    </row>
    <row r="13" ht="7.5" customHeight="1"/>
    <row r="14" ht="19.5" customHeight="1">
      <c r="A14" s="46" t="s">
        <v>54</v>
      </c>
      <c r="B14" s="47" t="s">
        <v>55</v>
      </c>
      <c r="C14" s="48" t="s">
        <v>56</v>
      </c>
    </row>
    <row r="15" ht="19.5" customHeight="1">
      <c r="B15" s="49"/>
      <c r="C15" s="50" t="s">
        <v>57</v>
      </c>
    </row>
    <row r="16" ht="19.5" customHeight="1">
      <c r="B16" s="49"/>
      <c r="C16" s="50" t="s">
        <v>58</v>
      </c>
    </row>
    <row r="17" ht="7.5" customHeight="1"/>
    <row r="18" ht="19.5" customHeight="1">
      <c r="A18" s="46" t="s">
        <v>59</v>
      </c>
      <c r="B18" s="47" t="s">
        <v>60</v>
      </c>
      <c r="C18" s="48" t="s">
        <v>61</v>
      </c>
    </row>
    <row r="19" ht="19.5" customHeight="1">
      <c r="B19" s="49" t="s">
        <v>62</v>
      </c>
      <c r="C19" s="50" t="s">
        <v>63</v>
      </c>
    </row>
    <row r="20" ht="19.5" customHeight="1">
      <c r="B20" s="49" t="s">
        <v>64</v>
      </c>
      <c r="C20" s="50" t="s">
        <v>65</v>
      </c>
    </row>
    <row r="21" ht="7.5" customHeight="1"/>
    <row r="22" ht="9.75" customHeight="1"/>
    <row r="23" ht="31.5" customHeight="1">
      <c r="A23" s="51" t="s">
        <v>66</v>
      </c>
      <c r="B23" s="3"/>
      <c r="C23" s="4"/>
    </row>
    <row r="24" ht="19.5" customHeight="1">
      <c r="B24" s="52" t="s">
        <v>67</v>
      </c>
      <c r="C24" s="53" t="s">
        <v>68</v>
      </c>
    </row>
    <row r="25" ht="19.5" customHeight="1">
      <c r="B25" s="52" t="s">
        <v>69</v>
      </c>
      <c r="C25" s="50" t="s">
        <v>70</v>
      </c>
    </row>
    <row r="26" ht="19.5" customHeight="1">
      <c r="B26" s="52" t="s">
        <v>71</v>
      </c>
      <c r="C26" s="53" t="s">
        <v>72</v>
      </c>
    </row>
    <row r="27" ht="19.5" customHeight="1">
      <c r="B27" s="52" t="s">
        <v>73</v>
      </c>
      <c r="C27" s="50" t="s">
        <v>74</v>
      </c>
    </row>
    <row r="28" ht="19.5" customHeight="1">
      <c r="B28" s="52" t="s">
        <v>75</v>
      </c>
      <c r="C28" s="53" t="s">
        <v>76</v>
      </c>
    </row>
    <row r="29" ht="19.5" customHeight="1">
      <c r="B29" s="52" t="s">
        <v>77</v>
      </c>
      <c r="C29" s="50" t="s">
        <v>78</v>
      </c>
    </row>
    <row r="30" ht="19.5" customHeight="1">
      <c r="B30" s="52" t="s">
        <v>79</v>
      </c>
      <c r="C30" s="53" t="s">
        <v>80</v>
      </c>
    </row>
    <row r="31" ht="19.5" customHeight="1">
      <c r="B31" s="52" t="s">
        <v>81</v>
      </c>
      <c r="C31" s="50" t="s">
        <v>82</v>
      </c>
    </row>
    <row r="32" ht="9.75" customHeight="1"/>
    <row r="33" ht="30.0" customHeight="1">
      <c r="A33" s="54" t="s">
        <v>83</v>
      </c>
      <c r="B33" s="3"/>
      <c r="C33" s="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2:C2"/>
    <mergeCell ref="A3:C3"/>
    <mergeCell ref="A23:C23"/>
    <mergeCell ref="A33:C33"/>
  </mergeCells>
  <printOptions/>
  <pageMargins bottom="1.0" footer="0.0" header="0.0" left="0.75" right="0.75" top="1.0"/>
  <pageSetup paperSize="9" orientation="portrait"/>
  <drawing r:id="rId1"/>
</worksheet>
</file>